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B1_MEB_Periods" sheetId="2" state="visible" r:id="rId2"/>
    <sheet name="B1_Metrics" sheetId="3" state="visible" r:id="rId3"/>
    <sheet name="B2_Balance_Movement" sheetId="4" state="visible" r:id="rId4"/>
    <sheet name="B2_Metrics" sheetId="5" state="visible" r:id="rId5"/>
  </sheets>
  <definedNames>
    <definedName name="_xlnm._FilterDatabase" localSheetId="2" hidden="1">'B1_Metrics'!$A$20:$H$50</definedName>
    <definedName name="_xlnm._FilterDatabase" localSheetId="4" hidden="1">'B2_Metrics'!$A$18:$H$45</definedName>
  </definedNames>
  <calcPr calcId="124519" fullCalcOnLoad="0" refMode="A1" iterate="0" iterateCount="100" iterateDelta="0.0001" forceFullCalc="0"/>
</workbook>
</file>

<file path=xl/styles.xml><?xml version="1.0" encoding="utf-8"?>
<styleSheet xmlns="http://schemas.openxmlformats.org/spreadsheetml/2006/main">
  <numFmts count="5">
    <numFmt numFmtId="164" formatCode="#,##0.00;\(#,##0.00\);\-"/>
    <numFmt numFmtId="165" formatCode="0.0%;\-0.0%;0.0%"/>
    <numFmt numFmtId="166" formatCode="\+0.0&quot; pp&quot;;\-0.0&quot; pp&quot;;0.0&quot; pp&quot;"/>
    <numFmt numFmtId="167" formatCode="0.00%;\-0.00%;0.00%"/>
    <numFmt numFmtId="168" formatCode="0.00\x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168" fontId="1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164" fontId="13" fillId="0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14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168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7" min="1" max="1"/>
    <col width="110" customWidth="1" style="27" min="2" max="2"/>
  </cols>
  <sheetData>
    <row r="1" ht="17.35" customHeight="1" s="28">
      <c r="A1" s="29" t="inlineStr">
        <is>
          <t>RBL Bank — Book Growth Analysis (BBRL liabilities): page-wise metric extraction</t>
        </is>
      </c>
    </row>
    <row r="2" ht="15" customHeight="1" s="28">
      <c r="A2" s="30" t="inlineStr">
        <is>
          <t>Source: 01_Book_Growth_Analysis.pdf (1 page, 2 data blocks) | ₹ Cr | MEB = month-end balance, MAB = monthly average balance</t>
        </is>
      </c>
    </row>
    <row r="3" ht="15" customHeight="1" s="28">
      <c r="A3" s="31" t="inlineStr">
        <is>
          <t>⚠ DRAFT ONLY — Requires review and approval by a qualified Alvarez and Marsal professional before use.</t>
        </is>
      </c>
    </row>
    <row r="5" ht="15" customHeight="1" s="28">
      <c r="A5" s="32" t="inlineStr">
        <is>
          <t>Sheet map</t>
        </is>
      </c>
      <c r="B5" s="33" t="n"/>
    </row>
    <row r="6" ht="15" customHeight="1" s="28">
      <c r="A6" s="34" t="inlineStr">
        <is>
          <t>B1_MEB_Periods</t>
        </is>
      </c>
      <c r="B6" s="35" t="inlineStr">
        <is>
          <t>Block 1 — MEB by product × customer segment for CM, LY, LM, LQ, with printed growth tables and sign checks</t>
        </is>
      </c>
    </row>
    <row r="7" ht="15" customHeight="1" s="28">
      <c r="A7" s="34" t="inlineStr">
        <is>
          <t>B1_Metrics</t>
        </is>
      </c>
      <c r="B7" s="35" t="inlineStr">
        <is>
          <t>Notation + exhaustive metrics for Block 1</t>
        </is>
      </c>
    </row>
    <row r="8" ht="23.85" customHeight="1" s="28">
      <c r="A8" s="34" t="inlineStr">
        <is>
          <t>B2_Balance_Movement</t>
        </is>
      </c>
      <c r="B8" s="35" t="inlineStr">
        <is>
          <t>Block 2 — Balance Movement: MAB by segment × product across CD, PD, CM, LM, LY, LYCM and the &lt; ₹3 Cr / Individual &lt; ₹3 Cr sub-books</t>
        </is>
      </c>
    </row>
    <row r="9" ht="15" customHeight="1" s="28">
      <c r="A9" s="34" t="inlineStr">
        <is>
          <t>B2_Metrics</t>
        </is>
      </c>
      <c r="B9" s="35" t="inlineStr">
        <is>
          <t>Notation + exhaustive metrics for Block 2</t>
        </is>
      </c>
    </row>
    <row r="10" ht="15" customHeight="1" s="28">
      <c r="A10" s="34" t="n"/>
      <c r="B10" s="35" t="n"/>
    </row>
    <row r="11" ht="15" customHeight="1" s="28">
      <c r="A11" s="32" t="inlineStr">
        <is>
          <t>Colour legend</t>
        </is>
      </c>
      <c r="B11" s="33" t="n"/>
    </row>
    <row r="12" ht="15" customHeight="1" s="28">
      <c r="A12" s="34" t="inlineStr">
        <is>
          <t>Blue text</t>
        </is>
      </c>
      <c r="B12" s="35" t="inlineStr">
        <is>
          <t>Hard-coded input transcribed from the PDF</t>
        </is>
      </c>
    </row>
    <row r="13" ht="15" customHeight="1" s="28">
      <c r="A13" s="34" t="inlineStr">
        <is>
          <t>Blue italic on grey</t>
        </is>
      </c>
      <c r="B13" s="35" t="inlineStr">
        <is>
          <t>Budget / projected value (ᴾ) transcribed from the PDF</t>
        </is>
      </c>
    </row>
    <row r="14" ht="15" customHeight="1" s="28">
      <c r="A14" s="34" t="inlineStr">
        <is>
          <t>Black text</t>
        </is>
      </c>
      <c r="B14" s="35" t="inlineStr">
        <is>
          <t>Formula on the same sheet</t>
        </is>
      </c>
    </row>
    <row r="15" ht="15" customHeight="1" s="28">
      <c r="A15" s="34" t="inlineStr">
        <is>
          <t>Green text</t>
        </is>
      </c>
      <c r="B15" s="35" t="inlineStr">
        <is>
          <t>Link to another sheet</t>
        </is>
      </c>
    </row>
    <row r="16" ht="15" customHeight="1" s="28">
      <c r="A16" s="34" t="inlineStr">
        <is>
          <t>Yellow fill</t>
        </is>
      </c>
      <c r="B16" s="35" t="inlineStr">
        <is>
          <t>Data flag to review</t>
        </is>
      </c>
    </row>
    <row r="17" ht="15" customHeight="1" s="28">
      <c r="A17" s="34" t="n"/>
      <c r="B17" s="35" t="n"/>
    </row>
    <row r="18" ht="15" customHeight="1" s="28">
      <c r="A18" s="32" t="inlineStr">
        <is>
          <t>Key assumptions (confirm with client)</t>
        </is>
      </c>
      <c r="B18" s="33" t="n"/>
    </row>
    <row r="19" ht="23.85" customHeight="1" s="28">
      <c r="A19" s="34" t="inlineStr">
        <is>
          <t>1</t>
        </is>
      </c>
      <c r="B19" s="35" t="inlineStr">
        <is>
          <t>Printed growth % and 'Growth in Allocated Segment' are signed in the PDF (e.g. MASS CA CM vs LY = −49.12%) and tie to recomputed values. 'Growth in Allocated Segment' is the change in segment share, in pp, not a growth rate.</t>
        </is>
      </c>
    </row>
    <row r="20" ht="15" customHeight="1" s="28">
      <c r="A20" s="34" t="inlineStr">
        <is>
          <t>2</t>
        </is>
      </c>
      <c r="B20" s="35" t="inlineStr">
        <is>
          <t>Filter context: BBB Flag = BBRL, all other filters = All. Report header was not captured; title taken from file name.</t>
        </is>
      </c>
    </row>
    <row r="21" ht="23.85" customHeight="1" s="28">
      <c r="A21" s="34" t="inlineStr">
        <is>
          <t>3</t>
        </is>
      </c>
      <c r="B21" s="35" t="inlineStr">
        <is>
          <t>'&lt; 3 Cr' and '&lt; 3 Ind Cr' columns are the sub-book of customers below ₹3 Cr and of individual customers below ₹3 Cr (as printed: 'CM &lt; 3 Cr*'). The &lt; 3 Cr book grew only +8.5% YoY while the ≥ ₹3 Cr remainder grew +114% — growth is large-ticket.</t>
        </is>
      </c>
    </row>
    <row r="22" ht="23.85" customHeight="1" s="28">
      <c r="A22" s="34" t="inlineStr">
        <is>
          <t>4</t>
        </is>
      </c>
      <c r="B22" s="35" t="inlineStr">
        <is>
          <t>CD / PD read as current-day / previous-day MAB; CM = current month; LM = last month; LQ = last quarter-end month; LY = last year; LYCM = last-year current-month basis. CM vs LM and CM vs LY diffs on the MAB page tie to LM* and LY* here.</t>
        </is>
      </c>
    </row>
    <row r="23" ht="23.85" customHeight="1" s="28">
      <c r="A23" s="34" t="inlineStr">
        <is>
          <t>5</t>
        </is>
      </c>
      <c r="B23" s="35" t="inlineStr">
        <is>
          <t>Cross-page: Balance Movement CD* / CM* grand total (115,448.64) equals the MAB page grand total; Block-1 CM MEB grand total (113,109.81) is a different measure (MEB).</t>
        </is>
      </c>
    </row>
    <row r="24" ht="15" customHeight="1" s="28">
      <c r="A24" s="34" t="inlineStr">
        <is>
          <t>Confidentiality</t>
        </is>
      </c>
      <c r="B24" s="35" t="inlineStr">
        <is>
          <t>Client-confidential RBL Bank data.</t>
        </is>
      </c>
    </row>
    <row r="26" ht="15" customHeight="1" s="28">
      <c r="A26" s="31" t="inlineStr">
        <is>
          <t>⚠ DRAFT ONLY — Requires review and approval by a qualified Alvarez and Marsal professional before use.</t>
        </is>
      </c>
    </row>
    <row r="28">
      <c r="A28" t="inlineStr">
        <is>
          <t>CORRECTED INGESTION HANDOFF</t>
        </is>
      </c>
    </row>
    <row r="29">
      <c r="A29" t="inlineStr">
        <is>
          <t>All 53 business definitions retain their readable notation and include a parser-safe Executable Formula.</t>
        </is>
      </c>
    </row>
    <row r="30">
      <c r="A30" t="inlineStr">
        <is>
          <t>Examples are static audited values so validation does not depend on local Excel recalculation.</t>
        </is>
      </c>
    </row>
    <row r="31">
      <c r="A31" t="inlineStr">
        <is>
          <t>Import: ./run.sh business-rules 01_Book_Growth_Analysis_Metrics.xlsx --apply --approved-only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30" customWidth="1" style="27" min="2" max="2"/>
    <col width="13" customWidth="1" style="27" min="3" max="6"/>
    <col width="14" customWidth="1" style="27" min="7" max="8"/>
    <col width="10" customWidth="1" style="27" min="9" max="9"/>
    <col width="12" customWidth="1" style="27" min="10" max="20"/>
    <col width="14" customWidth="1" style="27" min="21" max="21"/>
    <col width="12" customWidth="1" style="27" min="22" max="22"/>
  </cols>
  <sheetData>
    <row r="1" ht="17.35" customHeight="1" s="28">
      <c r="A1" s="29" t="inlineStr">
        <is>
          <t>Block 1 — MEB by product × customer segment (CM, LY, LM, LQ)</t>
        </is>
      </c>
    </row>
    <row r="2" ht="15" customHeight="1" s="28">
      <c r="A2" s="30" t="inlineStr">
        <is>
          <t>Source: Book Growth Analysis.pdf | ₹ Cr | month-end balances; all actuals | shares recomputed</t>
        </is>
      </c>
    </row>
    <row r="3" ht="15" customHeight="1" s="28">
      <c r="A3" s="31" t="inlineStr">
        <is>
          <t>⚠ DRAFT ONLY — Requires review and approval by a qualified Alvarez and Marsal professional before use.</t>
        </is>
      </c>
    </row>
    <row r="5" ht="15" customHeight="1" s="28">
      <c r="A5" s="32" t="inlineStr">
        <is>
          <t>CM MEB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</row>
    <row r="6" ht="23.85" customHeight="1" s="28">
      <c r="A6" s="36" t="inlineStr">
        <is>
          <t>#</t>
        </is>
      </c>
      <c r="B6" s="36" t="inlineStr">
        <is>
          <t>Product</t>
        </is>
      </c>
      <c r="C6" s="36" t="inlineStr">
        <is>
          <t>INSIGNIA</t>
        </is>
      </c>
      <c r="D6" s="36" t="inlineStr">
        <is>
          <t>SIGNATURE</t>
        </is>
      </c>
      <c r="E6" s="36" t="inlineStr">
        <is>
          <t>ASPIRE</t>
        </is>
      </c>
      <c r="F6" s="36" t="inlineStr">
        <is>
          <t>MASS</t>
        </is>
      </c>
      <c r="G6" s="36" t="inlineStr">
        <is>
          <t>Printed total</t>
        </is>
      </c>
      <c r="H6" s="36" t="inlineStr">
        <is>
          <t>Σ segments</t>
        </is>
      </c>
      <c r="I6" s="36" t="inlineStr">
        <is>
          <t>Gap</t>
        </is>
      </c>
      <c r="J6" s="36" t="inlineStr">
        <is>
          <t>Share INSIGNIA</t>
        </is>
      </c>
      <c r="K6" s="36" t="inlineStr">
        <is>
          <t>Share SIGNATURE</t>
        </is>
      </c>
      <c r="L6" s="36" t="inlineStr">
        <is>
          <t>Share ASPIRE</t>
        </is>
      </c>
      <c r="M6" s="36" t="inlineStr">
        <is>
          <t>Share MASS</t>
        </is>
      </c>
      <c r="N6" s="36" t="inlineStr">
        <is>
          <t>Product share of GT</t>
        </is>
      </c>
    </row>
    <row r="7" ht="15" customHeight="1" s="28">
      <c r="A7" s="37" t="n">
        <v>1</v>
      </c>
      <c r="B7" s="37" t="inlineStr">
        <is>
          <t>CA</t>
        </is>
      </c>
      <c r="C7" s="38" t="n">
        <v>3849.97</v>
      </c>
      <c r="D7" s="38" t="n">
        <v>438.94</v>
      </c>
      <c r="E7" s="38" t="n">
        <v>515.22</v>
      </c>
      <c r="F7" s="38" t="n">
        <v>1393.38</v>
      </c>
      <c r="G7" s="38" t="n">
        <v>6197.51</v>
      </c>
      <c r="H7" s="39">
        <f>SUM(C7:F7)</f>
        <v/>
      </c>
      <c r="I7" s="39">
        <f>G7-H7</f>
        <v/>
      </c>
      <c r="J7" s="40">
        <f>C7/$G7</f>
        <v/>
      </c>
      <c r="K7" s="40">
        <f>D7/$G7</f>
        <v/>
      </c>
      <c r="L7" s="40">
        <f>E7/$G7</f>
        <v/>
      </c>
      <c r="M7" s="40">
        <f>F7/$G7</f>
        <v/>
      </c>
      <c r="N7" s="40">
        <f>G7/$G$11</f>
        <v/>
      </c>
    </row>
    <row r="8" ht="15" customHeight="1" s="28">
      <c r="A8" s="37" t="n">
        <v>2</v>
      </c>
      <c r="B8" s="37" t="inlineStr">
        <is>
          <t>SA</t>
        </is>
      </c>
      <c r="C8" s="38" t="n">
        <v>11257.45</v>
      </c>
      <c r="D8" s="38" t="n">
        <v>3129.55</v>
      </c>
      <c r="E8" s="38" t="n">
        <v>1601</v>
      </c>
      <c r="F8" s="38" t="n">
        <v>3434.88</v>
      </c>
      <c r="G8" s="38" t="n">
        <v>19422.88</v>
      </c>
      <c r="H8" s="39">
        <f>SUM(C8:F8)</f>
        <v/>
      </c>
      <c r="I8" s="39">
        <f>G8-H8</f>
        <v/>
      </c>
      <c r="J8" s="40">
        <f>C8/$G8</f>
        <v/>
      </c>
      <c r="K8" s="40">
        <f>D8/$G8</f>
        <v/>
      </c>
      <c r="L8" s="40">
        <f>E8/$G8</f>
        <v/>
      </c>
      <c r="M8" s="40">
        <f>F8/$G8</f>
        <v/>
      </c>
      <c r="N8" s="40">
        <f>G8/$G$11</f>
        <v/>
      </c>
    </row>
    <row r="9" ht="15" customHeight="1" s="28">
      <c r="A9" s="37" t="n">
        <v>3</v>
      </c>
      <c r="B9" s="37" t="inlineStr">
        <is>
          <t>Deposits</t>
        </is>
      </c>
      <c r="C9" s="38" t="n">
        <v>52910.64</v>
      </c>
      <c r="D9" s="38" t="n">
        <v>7509.46</v>
      </c>
      <c r="E9" s="38" t="n">
        <v>6510.42</v>
      </c>
      <c r="F9" s="38" t="n">
        <v>20542.05</v>
      </c>
      <c r="G9" s="38" t="n">
        <v>87472.57000000001</v>
      </c>
      <c r="H9" s="39">
        <f>SUM(C9:F9)</f>
        <v/>
      </c>
      <c r="I9" s="39">
        <f>G9-H9</f>
        <v/>
      </c>
      <c r="J9" s="40">
        <f>C9/$G9</f>
        <v/>
      </c>
      <c r="K9" s="40">
        <f>D9/$G9</f>
        <v/>
      </c>
      <c r="L9" s="40">
        <f>E9/$G9</f>
        <v/>
      </c>
      <c r="M9" s="40">
        <f>F9/$G9</f>
        <v/>
      </c>
      <c r="N9" s="40">
        <f>G9/$G$11</f>
        <v/>
      </c>
    </row>
    <row r="10" ht="15" customHeight="1" s="28">
      <c r="A10" s="37" t="n">
        <v>4</v>
      </c>
      <c r="B10" s="37" t="inlineStr">
        <is>
          <t>ODFD</t>
        </is>
      </c>
      <c r="C10" s="38" t="n">
        <v>8.779999999999999</v>
      </c>
      <c r="D10" s="38" t="n">
        <v>3.34</v>
      </c>
      <c r="E10" s="38" t="n">
        <v>1.51</v>
      </c>
      <c r="F10" s="38" t="n">
        <v>3.22</v>
      </c>
      <c r="G10" s="38" t="n">
        <v>16.84</v>
      </c>
      <c r="H10" s="39">
        <f>SUM(C10:F10)</f>
        <v/>
      </c>
      <c r="I10" s="39">
        <f>G10-H10</f>
        <v/>
      </c>
      <c r="J10" s="40">
        <f>C10/$G10</f>
        <v/>
      </c>
      <c r="K10" s="40">
        <f>D10/$G10</f>
        <v/>
      </c>
      <c r="L10" s="40">
        <f>E10/$G10</f>
        <v/>
      </c>
      <c r="M10" s="40">
        <f>F10/$G10</f>
        <v/>
      </c>
      <c r="N10" s="40">
        <f>G10/$G$11</f>
        <v/>
      </c>
    </row>
    <row r="11" ht="15" customHeight="1" s="28">
      <c r="A11" s="37" t="n">
        <v>5</v>
      </c>
      <c r="B11" s="41" t="inlineStr">
        <is>
          <t>Grand Total (printed)</t>
        </is>
      </c>
      <c r="C11" s="38" t="n">
        <v>68026.83</v>
      </c>
      <c r="D11" s="38" t="n">
        <v>11081.29</v>
      </c>
      <c r="E11" s="38" t="n">
        <v>8628.16</v>
      </c>
      <c r="F11" s="38" t="n">
        <v>25373.53</v>
      </c>
      <c r="G11" s="38" t="n">
        <v>113109.81</v>
      </c>
      <c r="H11" s="39">
        <f>SUM(C11:F11)</f>
        <v/>
      </c>
      <c r="I11" s="39">
        <f>G11-H11</f>
        <v/>
      </c>
      <c r="J11" s="40">
        <f>C11/$G11</f>
        <v/>
      </c>
      <c r="K11" s="40">
        <f>D11/$G11</f>
        <v/>
      </c>
      <c r="L11" s="40">
        <f>E11/$G11</f>
        <v/>
      </c>
      <c r="M11" s="40">
        <f>F11/$G11</f>
        <v/>
      </c>
      <c r="N11" s="40">
        <f>G11/$G$11</f>
        <v/>
      </c>
    </row>
    <row r="12" ht="15" customHeight="1" s="28">
      <c r="B12" s="41" t="inlineStr">
        <is>
          <t>Σ products (computed)</t>
        </is>
      </c>
      <c r="C12" s="39">
        <f>SUM(C7:C10)</f>
        <v/>
      </c>
      <c r="D12" s="39">
        <f>SUM(D7:D10)</f>
        <v/>
      </c>
      <c r="E12" s="39">
        <f>SUM(E7:E10)</f>
        <v/>
      </c>
      <c r="F12" s="39">
        <f>SUM(F7:F10)</f>
        <v/>
      </c>
      <c r="G12" s="39">
        <f>SUM(G7:G10)</f>
        <v/>
      </c>
      <c r="H12" s="39">
        <f>SUM(C12:F12)</f>
        <v/>
      </c>
    </row>
    <row r="13" ht="15" customHeight="1" s="28">
      <c r="B13" s="37" t="inlineStr">
        <is>
          <t>Gap: printed GT − Σ products</t>
        </is>
      </c>
      <c r="C13" s="39">
        <f>C11-C12</f>
        <v/>
      </c>
      <c r="D13" s="39">
        <f>D11-D12</f>
        <v/>
      </c>
      <c r="E13" s="39">
        <f>E11-E12</f>
        <v/>
      </c>
      <c r="F13" s="39">
        <f>F11-F12</f>
        <v/>
      </c>
      <c r="G13" s="39">
        <f>G11-G12</f>
        <v/>
      </c>
    </row>
    <row r="14" ht="15" customHeight="1" s="28">
      <c r="A14" s="32" t="inlineStr">
        <is>
          <t>LY MEB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</row>
    <row r="15" ht="23.85" customHeight="1" s="28">
      <c r="A15" s="36" t="inlineStr">
        <is>
          <t>#</t>
        </is>
      </c>
      <c r="B15" s="36" t="inlineStr">
        <is>
          <t>Product</t>
        </is>
      </c>
      <c r="C15" s="36" t="inlineStr">
        <is>
          <t>INSIGNIA</t>
        </is>
      </c>
      <c r="D15" s="36" t="inlineStr">
        <is>
          <t>SIGNATURE</t>
        </is>
      </c>
      <c r="E15" s="36" t="inlineStr">
        <is>
          <t>ASPIRE</t>
        </is>
      </c>
      <c r="F15" s="36" t="inlineStr">
        <is>
          <t>MASS</t>
        </is>
      </c>
      <c r="G15" s="36" t="inlineStr">
        <is>
          <t>Printed total</t>
        </is>
      </c>
      <c r="H15" s="36" t="inlineStr">
        <is>
          <t>Σ segments</t>
        </is>
      </c>
      <c r="I15" s="36" t="inlineStr">
        <is>
          <t>Gap</t>
        </is>
      </c>
      <c r="J15" s="36" t="inlineStr">
        <is>
          <t>Share INSIGNIA</t>
        </is>
      </c>
      <c r="K15" s="36" t="inlineStr">
        <is>
          <t>Share SIGNATURE</t>
        </is>
      </c>
      <c r="L15" s="36" t="inlineStr">
        <is>
          <t>Share ASPIRE</t>
        </is>
      </c>
      <c r="M15" s="36" t="inlineStr">
        <is>
          <t>Share MASS</t>
        </is>
      </c>
      <c r="N15" s="36" t="inlineStr">
        <is>
          <t>Product share of GT</t>
        </is>
      </c>
    </row>
    <row r="16" ht="15" customHeight="1" s="28">
      <c r="A16" s="37" t="n">
        <v>1</v>
      </c>
      <c r="B16" s="37" t="inlineStr">
        <is>
          <t>CA</t>
        </is>
      </c>
      <c r="C16" s="38" t="n">
        <v>4906.99</v>
      </c>
      <c r="D16" s="38" t="n">
        <v>551.97</v>
      </c>
      <c r="E16" s="38" t="n">
        <v>645.42</v>
      </c>
      <c r="F16" s="38" t="n">
        <v>2738.8</v>
      </c>
      <c r="G16" s="38" t="n">
        <v>8843.18</v>
      </c>
      <c r="H16" s="39">
        <f>SUM(C16:F16)</f>
        <v/>
      </c>
      <c r="I16" s="39">
        <f>G16-H16</f>
        <v/>
      </c>
      <c r="J16" s="40">
        <f>C16/$G16</f>
        <v/>
      </c>
      <c r="K16" s="40">
        <f>D16/$G16</f>
        <v/>
      </c>
      <c r="L16" s="40">
        <f>E16/$G16</f>
        <v/>
      </c>
      <c r="M16" s="40">
        <f>F16/$G16</f>
        <v/>
      </c>
      <c r="N16" s="40">
        <f>G16/$G$20</f>
        <v/>
      </c>
    </row>
    <row r="17" ht="15" customHeight="1" s="28">
      <c r="A17" s="37" t="n">
        <v>2</v>
      </c>
      <c r="B17" s="37" t="inlineStr">
        <is>
          <t>SA</t>
        </is>
      </c>
      <c r="C17" s="38" t="n">
        <v>11203.79</v>
      </c>
      <c r="D17" s="38" t="n">
        <v>3115.25</v>
      </c>
      <c r="E17" s="38" t="n">
        <v>1566.72</v>
      </c>
      <c r="F17" s="38" t="n">
        <v>3717.23</v>
      </c>
      <c r="G17" s="38" t="n">
        <v>19602.98</v>
      </c>
      <c r="H17" s="39">
        <f>SUM(C17:F17)</f>
        <v/>
      </c>
      <c r="I17" s="39">
        <f>G17-H17</f>
        <v/>
      </c>
      <c r="J17" s="40">
        <f>C17/$G17</f>
        <v/>
      </c>
      <c r="K17" s="40">
        <f>D17/$G17</f>
        <v/>
      </c>
      <c r="L17" s="40">
        <f>E17/$G17</f>
        <v/>
      </c>
      <c r="M17" s="40">
        <f>F17/$G17</f>
        <v/>
      </c>
      <c r="N17" s="40">
        <f>G17/$G$20</f>
        <v/>
      </c>
    </row>
    <row r="18" ht="15" customHeight="1" s="28">
      <c r="A18" s="37" t="n">
        <v>3</v>
      </c>
      <c r="B18" s="37" t="inlineStr">
        <is>
          <t>Deposits</t>
        </is>
      </c>
      <c r="C18" s="38" t="n">
        <v>24996.33</v>
      </c>
      <c r="D18" s="38" t="n">
        <v>6013.38</v>
      </c>
      <c r="E18" s="38" t="n">
        <v>5541.37</v>
      </c>
      <c r="F18" s="38" t="n">
        <v>22778.25</v>
      </c>
      <c r="G18" s="38" t="n">
        <v>59329.33</v>
      </c>
      <c r="H18" s="39">
        <f>SUM(C18:F18)</f>
        <v/>
      </c>
      <c r="I18" s="39">
        <f>G18-H18</f>
        <v/>
      </c>
      <c r="J18" s="40">
        <f>C18/$G18</f>
        <v/>
      </c>
      <c r="K18" s="40">
        <f>D18/$G18</f>
        <v/>
      </c>
      <c r="L18" s="40">
        <f>E18/$G18</f>
        <v/>
      </c>
      <c r="M18" s="40">
        <f>F18/$G18</f>
        <v/>
      </c>
      <c r="N18" s="40">
        <f>G18/$G$20</f>
        <v/>
      </c>
    </row>
    <row r="19" ht="15" customHeight="1" s="28">
      <c r="A19" s="37" t="n">
        <v>4</v>
      </c>
      <c r="B19" s="37" t="inlineStr">
        <is>
          <t>ODFD</t>
        </is>
      </c>
      <c r="C19" s="38" t="n">
        <v>9</v>
      </c>
      <c r="D19" s="38" t="n">
        <v>4.74</v>
      </c>
      <c r="E19" s="38" t="n">
        <v>1.64</v>
      </c>
      <c r="F19" s="38" t="n">
        <v>3.54</v>
      </c>
      <c r="G19" s="38" t="n">
        <v>18.92</v>
      </c>
      <c r="H19" s="39">
        <f>SUM(C19:F19)</f>
        <v/>
      </c>
      <c r="I19" s="39">
        <f>G19-H19</f>
        <v/>
      </c>
      <c r="J19" s="40">
        <f>C19/$G19</f>
        <v/>
      </c>
      <c r="K19" s="40">
        <f>D19/$G19</f>
        <v/>
      </c>
      <c r="L19" s="40">
        <f>E19/$G19</f>
        <v/>
      </c>
      <c r="M19" s="40">
        <f>F19/$G19</f>
        <v/>
      </c>
      <c r="N19" s="40">
        <f>G19/$G$20</f>
        <v/>
      </c>
    </row>
    <row r="20" ht="15" customHeight="1" s="28">
      <c r="A20" s="37" t="n">
        <v>5</v>
      </c>
      <c r="B20" s="41" t="inlineStr">
        <is>
          <t>Grand Total (printed)</t>
        </is>
      </c>
      <c r="C20" s="38" t="n">
        <v>41116.12</v>
      </c>
      <c r="D20" s="38" t="n">
        <v>9685.33</v>
      </c>
      <c r="E20" s="38" t="n">
        <v>7755.15</v>
      </c>
      <c r="F20" s="38" t="n">
        <v>29237.82</v>
      </c>
      <c r="G20" s="38" t="n">
        <v>87794.42</v>
      </c>
      <c r="H20" s="39">
        <f>SUM(C20:F20)</f>
        <v/>
      </c>
      <c r="I20" s="39">
        <f>G20-H20</f>
        <v/>
      </c>
      <c r="J20" s="40">
        <f>C20/$G20</f>
        <v/>
      </c>
      <c r="K20" s="40">
        <f>D20/$G20</f>
        <v/>
      </c>
      <c r="L20" s="40">
        <f>E20/$G20</f>
        <v/>
      </c>
      <c r="M20" s="40">
        <f>F20/$G20</f>
        <v/>
      </c>
      <c r="N20" s="40">
        <f>G20/$G$20</f>
        <v/>
      </c>
    </row>
    <row r="21" ht="15" customHeight="1" s="28">
      <c r="B21" s="41" t="inlineStr">
        <is>
          <t>Σ products (computed)</t>
        </is>
      </c>
      <c r="C21" s="39">
        <f>SUM(C16:C19)</f>
        <v/>
      </c>
      <c r="D21" s="39">
        <f>SUM(D16:D19)</f>
        <v/>
      </c>
      <c r="E21" s="39">
        <f>SUM(E16:E19)</f>
        <v/>
      </c>
      <c r="F21" s="39">
        <f>SUM(F16:F19)</f>
        <v/>
      </c>
      <c r="G21" s="39">
        <f>SUM(G16:G19)</f>
        <v/>
      </c>
      <c r="H21" s="39">
        <f>SUM(C21:F21)</f>
        <v/>
      </c>
    </row>
    <row r="22" ht="15" customHeight="1" s="28">
      <c r="B22" s="37" t="inlineStr">
        <is>
          <t>Gap: printed GT − Σ products</t>
        </is>
      </c>
      <c r="C22" s="39">
        <f>C20-C21</f>
        <v/>
      </c>
      <c r="D22" s="39">
        <f>D20-D21</f>
        <v/>
      </c>
      <c r="E22" s="39">
        <f>E20-E21</f>
        <v/>
      </c>
      <c r="F22" s="39">
        <f>F20-F21</f>
        <v/>
      </c>
      <c r="G22" s="39">
        <f>G20-G21</f>
        <v/>
      </c>
    </row>
    <row r="23" ht="15" customHeight="1" s="28">
      <c r="A23" s="32" t="inlineStr">
        <is>
          <t>LM MEB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</row>
    <row r="24" ht="23.85" customHeight="1" s="28">
      <c r="A24" s="36" t="inlineStr">
        <is>
          <t>#</t>
        </is>
      </c>
      <c r="B24" s="36" t="inlineStr">
        <is>
          <t>Product</t>
        </is>
      </c>
      <c r="C24" s="36" t="inlineStr">
        <is>
          <t>INSIGNIA</t>
        </is>
      </c>
      <c r="D24" s="36" t="inlineStr">
        <is>
          <t>SIGNATURE</t>
        </is>
      </c>
      <c r="E24" s="36" t="inlineStr">
        <is>
          <t>ASPIRE</t>
        </is>
      </c>
      <c r="F24" s="36" t="inlineStr">
        <is>
          <t>MASS</t>
        </is>
      </c>
      <c r="G24" s="36" t="inlineStr">
        <is>
          <t>Printed total</t>
        </is>
      </c>
      <c r="H24" s="36" t="inlineStr">
        <is>
          <t>Σ segments</t>
        </is>
      </c>
      <c r="I24" s="36" t="inlineStr">
        <is>
          <t>Gap</t>
        </is>
      </c>
      <c r="J24" s="36" t="inlineStr">
        <is>
          <t>Share INSIGNIA</t>
        </is>
      </c>
      <c r="K24" s="36" t="inlineStr">
        <is>
          <t>Share SIGNATURE</t>
        </is>
      </c>
      <c r="L24" s="36" t="inlineStr">
        <is>
          <t>Share ASPIRE</t>
        </is>
      </c>
      <c r="M24" s="36" t="inlineStr">
        <is>
          <t>Share MASS</t>
        </is>
      </c>
      <c r="N24" s="36" t="inlineStr">
        <is>
          <t>Product share of GT</t>
        </is>
      </c>
    </row>
    <row r="25" ht="15" customHeight="1" s="28">
      <c r="A25" s="37" t="n">
        <v>1</v>
      </c>
      <c r="B25" s="37" t="inlineStr">
        <is>
          <t>CA</t>
        </is>
      </c>
      <c r="C25" s="38" t="n">
        <v>3774.25</v>
      </c>
      <c r="D25" s="38" t="n">
        <v>491.11</v>
      </c>
      <c r="E25" s="38" t="n">
        <v>534.41</v>
      </c>
      <c r="F25" s="38" t="n">
        <v>1638.21</v>
      </c>
      <c r="G25" s="38" t="n">
        <v>6437.98</v>
      </c>
      <c r="H25" s="39">
        <f>SUM(C25:F25)</f>
        <v/>
      </c>
      <c r="I25" s="39">
        <f>G25-H25</f>
        <v/>
      </c>
      <c r="J25" s="40">
        <f>C25/$G25</f>
        <v/>
      </c>
      <c r="K25" s="40">
        <f>D25/$G25</f>
        <v/>
      </c>
      <c r="L25" s="40">
        <f>E25/$G25</f>
        <v/>
      </c>
      <c r="M25" s="40">
        <f>F25/$G25</f>
        <v/>
      </c>
      <c r="N25" s="40">
        <f>G25/$G$29</f>
        <v/>
      </c>
    </row>
    <row r="26" ht="15" customHeight="1" s="28">
      <c r="A26" s="37" t="n">
        <v>2</v>
      </c>
      <c r="B26" s="37" t="inlineStr">
        <is>
          <t>SA</t>
        </is>
      </c>
      <c r="C26" s="38" t="n">
        <v>11110.84</v>
      </c>
      <c r="D26" s="38" t="n">
        <v>3152.62</v>
      </c>
      <c r="E26" s="38" t="n">
        <v>1582.89</v>
      </c>
      <c r="F26" s="38" t="n">
        <v>3424.5</v>
      </c>
      <c r="G26" s="38" t="n">
        <v>19270.85</v>
      </c>
      <c r="H26" s="39">
        <f>SUM(C26:F26)</f>
        <v/>
      </c>
      <c r="I26" s="39">
        <f>G26-H26</f>
        <v/>
      </c>
      <c r="J26" s="40">
        <f>C26/$G26</f>
        <v/>
      </c>
      <c r="K26" s="40">
        <f>D26/$G26</f>
        <v/>
      </c>
      <c r="L26" s="40">
        <f>E26/$G26</f>
        <v/>
      </c>
      <c r="M26" s="40">
        <f>F26/$G26</f>
        <v/>
      </c>
      <c r="N26" s="40">
        <f>G26/$G$29</f>
        <v/>
      </c>
    </row>
    <row r="27" ht="15" customHeight="1" s="28">
      <c r="A27" s="37" t="n">
        <v>3</v>
      </c>
      <c r="B27" s="37" t="inlineStr">
        <is>
          <t>Deposits</t>
        </is>
      </c>
      <c r="C27" s="38" t="n">
        <v>33926.56</v>
      </c>
      <c r="D27" s="38" t="n">
        <v>6675.19</v>
      </c>
      <c r="E27" s="38" t="n">
        <v>5916</v>
      </c>
      <c r="F27" s="38" t="n">
        <v>21149.29</v>
      </c>
      <c r="G27" s="38" t="n">
        <v>67667.03999999999</v>
      </c>
      <c r="H27" s="39">
        <f>SUM(C27:F27)</f>
        <v/>
      </c>
      <c r="I27" s="39">
        <f>G27-H27</f>
        <v/>
      </c>
      <c r="J27" s="40">
        <f>C27/$G27</f>
        <v/>
      </c>
      <c r="K27" s="40">
        <f>D27/$G27</f>
        <v/>
      </c>
      <c r="L27" s="40">
        <f>E27/$G27</f>
        <v/>
      </c>
      <c r="M27" s="40">
        <f>F27/$G27</f>
        <v/>
      </c>
      <c r="N27" s="40">
        <f>G27/$G$29</f>
        <v/>
      </c>
    </row>
    <row r="28" ht="15" customHeight="1" s="28">
      <c r="A28" s="37" t="n">
        <v>4</v>
      </c>
      <c r="B28" s="37" t="inlineStr">
        <is>
          <t>ODFD</t>
        </is>
      </c>
      <c r="C28" s="38" t="n">
        <v>12.81</v>
      </c>
      <c r="D28" s="38" t="n">
        <v>3.45</v>
      </c>
      <c r="E28" s="38" t="n">
        <v>2.71</v>
      </c>
      <c r="F28" s="38" t="n">
        <v>3.56</v>
      </c>
      <c r="G28" s="38" t="n">
        <v>22.52</v>
      </c>
      <c r="H28" s="39">
        <f>SUM(C28:F28)</f>
        <v/>
      </c>
      <c r="I28" s="39">
        <f>G28-H28</f>
        <v/>
      </c>
      <c r="J28" s="40">
        <f>C28/$G28</f>
        <v/>
      </c>
      <c r="K28" s="40">
        <f>D28/$G28</f>
        <v/>
      </c>
      <c r="L28" s="40">
        <f>E28/$G28</f>
        <v/>
      </c>
      <c r="M28" s="40">
        <f>F28/$G28</f>
        <v/>
      </c>
      <c r="N28" s="40">
        <f>G28/$G$29</f>
        <v/>
      </c>
    </row>
    <row r="29" ht="15" customHeight="1" s="28">
      <c r="A29" s="37" t="n">
        <v>5</v>
      </c>
      <c r="B29" s="41" t="inlineStr">
        <is>
          <t>Grand Total (printed)</t>
        </is>
      </c>
      <c r="C29" s="38" t="n">
        <v>48824.46</v>
      </c>
      <c r="D29" s="38" t="n">
        <v>10322.37</v>
      </c>
      <c r="E29" s="38" t="n">
        <v>8036.01</v>
      </c>
      <c r="F29" s="38" t="n">
        <v>26215.56</v>
      </c>
      <c r="G29" s="38" t="n">
        <v>93398.39999999999</v>
      </c>
      <c r="H29" s="39">
        <f>SUM(C29:F29)</f>
        <v/>
      </c>
      <c r="I29" s="39">
        <f>G29-H29</f>
        <v/>
      </c>
      <c r="J29" s="40">
        <f>C29/$G29</f>
        <v/>
      </c>
      <c r="K29" s="40">
        <f>D29/$G29</f>
        <v/>
      </c>
      <c r="L29" s="40">
        <f>E29/$G29</f>
        <v/>
      </c>
      <c r="M29" s="40">
        <f>F29/$G29</f>
        <v/>
      </c>
      <c r="N29" s="40">
        <f>G29/$G$29</f>
        <v/>
      </c>
    </row>
    <row r="30" ht="15" customHeight="1" s="28">
      <c r="B30" s="41" t="inlineStr">
        <is>
          <t>Σ products (computed)</t>
        </is>
      </c>
      <c r="C30" s="39">
        <f>SUM(C25:C28)</f>
        <v/>
      </c>
      <c r="D30" s="39">
        <f>SUM(D25:D28)</f>
        <v/>
      </c>
      <c r="E30" s="39">
        <f>SUM(E25:E28)</f>
        <v/>
      </c>
      <c r="F30" s="39">
        <f>SUM(F25:F28)</f>
        <v/>
      </c>
      <c r="G30" s="39">
        <f>SUM(G25:G28)</f>
        <v/>
      </c>
      <c r="H30" s="39">
        <f>SUM(C30:F30)</f>
        <v/>
      </c>
    </row>
    <row r="31" ht="15" customHeight="1" s="28">
      <c r="B31" s="37" t="inlineStr">
        <is>
          <t>Gap: printed GT − Σ products</t>
        </is>
      </c>
      <c r="C31" s="39">
        <f>C29-C30</f>
        <v/>
      </c>
      <c r="D31" s="39">
        <f>D29-D30</f>
        <v/>
      </c>
      <c r="E31" s="39">
        <f>E29-E30</f>
        <v/>
      </c>
      <c r="F31" s="39">
        <f>F29-F30</f>
        <v/>
      </c>
      <c r="G31" s="39">
        <f>G29-G30</f>
        <v/>
      </c>
    </row>
    <row r="32" ht="15" customHeight="1" s="28">
      <c r="A32" s="32" t="inlineStr">
        <is>
          <t>LQ MEB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</row>
    <row r="33" ht="23.85" customHeight="1" s="28">
      <c r="A33" s="36" t="inlineStr">
        <is>
          <t>#</t>
        </is>
      </c>
      <c r="B33" s="36" t="inlineStr">
        <is>
          <t>Product</t>
        </is>
      </c>
      <c r="C33" s="36" t="inlineStr">
        <is>
          <t>INSIGNIA</t>
        </is>
      </c>
      <c r="D33" s="36" t="inlineStr">
        <is>
          <t>SIGNATURE</t>
        </is>
      </c>
      <c r="E33" s="36" t="inlineStr">
        <is>
          <t>ASPIRE</t>
        </is>
      </c>
      <c r="F33" s="36" t="inlineStr">
        <is>
          <t>MASS</t>
        </is>
      </c>
      <c r="G33" s="36" t="inlineStr">
        <is>
          <t>Printed total</t>
        </is>
      </c>
      <c r="H33" s="36" t="inlineStr">
        <is>
          <t>Σ segments</t>
        </is>
      </c>
      <c r="I33" s="36" t="inlineStr">
        <is>
          <t>Gap</t>
        </is>
      </c>
      <c r="J33" s="36" t="inlineStr">
        <is>
          <t>Share INSIGNIA</t>
        </is>
      </c>
      <c r="K33" s="36" t="inlineStr">
        <is>
          <t>Share SIGNATURE</t>
        </is>
      </c>
      <c r="L33" s="36" t="inlineStr">
        <is>
          <t>Share ASPIRE</t>
        </is>
      </c>
      <c r="M33" s="36" t="inlineStr">
        <is>
          <t>Share MASS</t>
        </is>
      </c>
      <c r="N33" s="36" t="inlineStr">
        <is>
          <t>Product share of GT</t>
        </is>
      </c>
    </row>
    <row r="34" ht="15" customHeight="1" s="28">
      <c r="A34" s="37" t="n">
        <v>1</v>
      </c>
      <c r="B34" s="37" t="inlineStr">
        <is>
          <t>CA</t>
        </is>
      </c>
      <c r="C34" s="38" t="n">
        <v>3879.65</v>
      </c>
      <c r="D34" s="38" t="n">
        <v>462.67</v>
      </c>
      <c r="E34" s="38" t="n">
        <v>563.0599999999999</v>
      </c>
      <c r="F34" s="38" t="n">
        <v>2036.22</v>
      </c>
      <c r="G34" s="38" t="n">
        <v>6941.6</v>
      </c>
      <c r="H34" s="39">
        <f>SUM(C34:F34)</f>
        <v/>
      </c>
      <c r="I34" s="39">
        <f>G34-H34</f>
        <v/>
      </c>
      <c r="J34" s="40">
        <f>C34/$G34</f>
        <v/>
      </c>
      <c r="K34" s="40">
        <f>D34/$G34</f>
        <v/>
      </c>
      <c r="L34" s="40">
        <f>E34/$G34</f>
        <v/>
      </c>
      <c r="M34" s="40">
        <f>F34/$G34</f>
        <v/>
      </c>
      <c r="N34" s="40">
        <f>G34/$G$38</f>
        <v/>
      </c>
    </row>
    <row r="35" ht="15" customHeight="1" s="28">
      <c r="A35" s="37" t="n">
        <v>2</v>
      </c>
      <c r="B35" s="37" t="inlineStr">
        <is>
          <t>SA</t>
        </is>
      </c>
      <c r="C35" s="38" t="n">
        <v>11051.02</v>
      </c>
      <c r="D35" s="38" t="n">
        <v>3122.71</v>
      </c>
      <c r="E35" s="38" t="n">
        <v>1621.02</v>
      </c>
      <c r="F35" s="38" t="n">
        <v>3334.89</v>
      </c>
      <c r="G35" s="38" t="n">
        <v>19129.64</v>
      </c>
      <c r="H35" s="39">
        <f>SUM(C35:F35)</f>
        <v/>
      </c>
      <c r="I35" s="39">
        <f>G35-H35</f>
        <v/>
      </c>
      <c r="J35" s="40">
        <f>C35/$G35</f>
        <v/>
      </c>
      <c r="K35" s="40">
        <f>D35/$G35</f>
        <v/>
      </c>
      <c r="L35" s="40">
        <f>E35/$G35</f>
        <v/>
      </c>
      <c r="M35" s="40">
        <f>F35/$G35</f>
        <v/>
      </c>
      <c r="N35" s="40">
        <f>G35/$G$38</f>
        <v/>
      </c>
    </row>
    <row r="36" ht="15" customHeight="1" s="28">
      <c r="A36" s="37" t="n">
        <v>3</v>
      </c>
      <c r="B36" s="37" t="inlineStr">
        <is>
          <t>Deposits</t>
        </is>
      </c>
      <c r="C36" s="38" t="n">
        <v>26052.53</v>
      </c>
      <c r="D36" s="38" t="n">
        <v>6330.66</v>
      </c>
      <c r="E36" s="38" t="n">
        <v>5724.89</v>
      </c>
      <c r="F36" s="38" t="n">
        <v>22061.57</v>
      </c>
      <c r="G36" s="38" t="n">
        <v>60169.66</v>
      </c>
      <c r="H36" s="39">
        <f>SUM(C36:F36)</f>
        <v/>
      </c>
      <c r="I36" s="39">
        <f>G36-H36</f>
        <v/>
      </c>
      <c r="J36" s="40">
        <f>C36/$G36</f>
        <v/>
      </c>
      <c r="K36" s="40">
        <f>D36/$G36</f>
        <v/>
      </c>
      <c r="L36" s="40">
        <f>E36/$G36</f>
        <v/>
      </c>
      <c r="M36" s="40">
        <f>F36/$G36</f>
        <v/>
      </c>
      <c r="N36" s="40">
        <f>G36/$G$38</f>
        <v/>
      </c>
    </row>
    <row r="37" ht="15" customHeight="1" s="28">
      <c r="A37" s="37" t="n">
        <v>4</v>
      </c>
      <c r="B37" s="37" t="inlineStr">
        <is>
          <t>ODFD</t>
        </is>
      </c>
      <c r="C37" s="38" t="n">
        <v>13.73</v>
      </c>
      <c r="D37" s="38" t="n">
        <v>3.46</v>
      </c>
      <c r="E37" s="38" t="n">
        <v>1.45</v>
      </c>
      <c r="F37" s="38" t="n">
        <v>3.48</v>
      </c>
      <c r="G37" s="38" t="n">
        <v>22.12</v>
      </c>
      <c r="H37" s="39">
        <f>SUM(C37:F37)</f>
        <v/>
      </c>
      <c r="I37" s="39">
        <f>G37-H37</f>
        <v/>
      </c>
      <c r="J37" s="40">
        <f>C37/$G37</f>
        <v/>
      </c>
      <c r="K37" s="40">
        <f>D37/$G37</f>
        <v/>
      </c>
      <c r="L37" s="40">
        <f>E37/$G37</f>
        <v/>
      </c>
      <c r="M37" s="40">
        <f>F37/$G37</f>
        <v/>
      </c>
      <c r="N37" s="40">
        <f>G37/$G$38</f>
        <v/>
      </c>
    </row>
    <row r="38" ht="15" customHeight="1" s="28">
      <c r="A38" s="37" t="n">
        <v>5</v>
      </c>
      <c r="B38" s="41" t="inlineStr">
        <is>
          <t>Grand Total (printed)</t>
        </is>
      </c>
      <c r="C38" s="38" t="n">
        <v>40996.93</v>
      </c>
      <c r="D38" s="38" t="n">
        <v>9919.5</v>
      </c>
      <c r="E38" s="38" t="n">
        <v>7910.42</v>
      </c>
      <c r="F38" s="38" t="n">
        <v>27436.17</v>
      </c>
      <c r="G38" s="38" t="n">
        <v>86263.02</v>
      </c>
      <c r="H38" s="39">
        <f>SUM(C38:F38)</f>
        <v/>
      </c>
      <c r="I38" s="39">
        <f>G38-H38</f>
        <v/>
      </c>
      <c r="J38" s="40">
        <f>C38/$G38</f>
        <v/>
      </c>
      <c r="K38" s="40">
        <f>D38/$G38</f>
        <v/>
      </c>
      <c r="L38" s="40">
        <f>E38/$G38</f>
        <v/>
      </c>
      <c r="M38" s="40">
        <f>F38/$G38</f>
        <v/>
      </c>
      <c r="N38" s="40">
        <f>G38/$G$38</f>
        <v/>
      </c>
    </row>
    <row r="39" ht="15" customHeight="1" s="28">
      <c r="B39" s="41" t="inlineStr">
        <is>
          <t>Σ products (computed)</t>
        </is>
      </c>
      <c r="C39" s="39">
        <f>SUM(C34:C37)</f>
        <v/>
      </c>
      <c r="D39" s="39">
        <f>SUM(D34:D37)</f>
        <v/>
      </c>
      <c r="E39" s="39">
        <f>SUM(E34:E37)</f>
        <v/>
      </c>
      <c r="F39" s="39">
        <f>SUM(F34:F37)</f>
        <v/>
      </c>
      <c r="G39" s="39">
        <f>SUM(G34:G37)</f>
        <v/>
      </c>
      <c r="H39" s="39">
        <f>SUM(C39:F39)</f>
        <v/>
      </c>
    </row>
    <row r="40" ht="15" customHeight="1" s="28">
      <c r="B40" s="37" t="inlineStr">
        <is>
          <t>Gap: printed GT − Σ products</t>
        </is>
      </c>
      <c r="C40" s="39">
        <f>C38-C39</f>
        <v/>
      </c>
      <c r="D40" s="39">
        <f>D38-D39</f>
        <v/>
      </c>
      <c r="E40" s="39">
        <f>E38-E39</f>
        <v/>
      </c>
      <c r="F40" s="39">
        <f>F38-F39</f>
        <v/>
      </c>
      <c r="G40" s="39">
        <f>G38-G39</f>
        <v/>
      </c>
    </row>
    <row r="42" ht="15" customHeight="1" s="28">
      <c r="A42" s="32" t="inlineStr">
        <is>
          <t>CM vs LY: computed growth and share shift vs printed (signed as printed)</t>
        </is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</row>
    <row r="43" ht="46.25" customHeight="1" s="28">
      <c r="A43" s="36" t="inlineStr">
        <is>
          <t>#</t>
        </is>
      </c>
      <c r="B43" s="36" t="inlineStr">
        <is>
          <t>Product</t>
        </is>
      </c>
      <c r="C43" s="36" t="inlineStr">
        <is>
          <t>g INSIGNIA</t>
        </is>
      </c>
      <c r="D43" s="36" t="inlineStr">
        <is>
          <t>g SIGNATURE</t>
        </is>
      </c>
      <c r="E43" s="36" t="inlineStr">
        <is>
          <t>g ASPIRE</t>
        </is>
      </c>
      <c r="F43" s="36" t="inlineStr">
        <is>
          <t>g MASS</t>
        </is>
      </c>
      <c r="G43" s="36" t="inlineStr">
        <is>
          <t>g Total</t>
        </is>
      </c>
      <c r="H43" s="36" t="inlineStr">
        <is>
          <t>Δshare INSIGNIA (pp)</t>
        </is>
      </c>
      <c r="I43" s="36" t="inlineStr">
        <is>
          <t>Δshare SIGNATURE (pp)</t>
        </is>
      </c>
      <c r="J43" s="36" t="inlineStr">
        <is>
          <t>Δshare ASPIRE (pp)</t>
        </is>
      </c>
      <c r="K43" s="36" t="inlineStr">
        <is>
          <t>Δshare MASS (pp)</t>
        </is>
      </c>
      <c r="L43" s="36" t="inlineStr">
        <is>
          <t>Printed g INSIGNIA</t>
        </is>
      </c>
      <c r="M43" s="36" t="inlineStr">
        <is>
          <t>Printed g SIGNATURE</t>
        </is>
      </c>
      <c r="N43" s="36" t="inlineStr">
        <is>
          <t>Printed g ASPIRE</t>
        </is>
      </c>
      <c r="O43" s="36" t="inlineStr">
        <is>
          <t>Printed g MASS</t>
        </is>
      </c>
      <c r="P43" s="36" t="inlineStr">
        <is>
          <t>Printed g Total</t>
        </is>
      </c>
      <c r="Q43" s="36" t="inlineStr">
        <is>
          <t>Printed Δ INSIGNIA</t>
        </is>
      </c>
      <c r="R43" s="36" t="inlineStr">
        <is>
          <t>Printed Δ SIGNATURE</t>
        </is>
      </c>
      <c r="S43" s="36" t="inlineStr">
        <is>
          <t>Printed Δ ASPIRE</t>
        </is>
      </c>
      <c r="T43" s="36" t="inlineStr">
        <is>
          <t>Printed Δ MASS</t>
        </is>
      </c>
      <c r="U43" s="36" t="inlineStr">
        <is>
          <t>Max |computed − printed| (growth; shift ÷ 100)</t>
        </is>
      </c>
      <c r="V43" s="36" t="inlineStr">
        <is>
          <t>Sign mismatches computed vs printed</t>
        </is>
      </c>
    </row>
    <row r="44" ht="15" customHeight="1" s="28">
      <c r="A44" s="37" t="n">
        <v>1</v>
      </c>
      <c r="B44" s="37" t="inlineStr">
        <is>
          <t>CA</t>
        </is>
      </c>
      <c r="C44" s="40">
        <f>C7/C16-1</f>
        <v/>
      </c>
      <c r="D44" s="40">
        <f>D7/D16-1</f>
        <v/>
      </c>
      <c r="E44" s="40">
        <f>E7/E16-1</f>
        <v/>
      </c>
      <c r="F44" s="40">
        <f>F7/F16-1</f>
        <v/>
      </c>
      <c r="G44" s="40">
        <f>G7/G16-1</f>
        <v/>
      </c>
      <c r="H44" s="42">
        <f>(J7-J16)*100</f>
        <v/>
      </c>
      <c r="I44" s="42">
        <f>(K7-K16)*100</f>
        <v/>
      </c>
      <c r="J44" s="42">
        <f>(L7-L16)*100</f>
        <v/>
      </c>
      <c r="K44" s="42">
        <f>(M7-M16)*100</f>
        <v/>
      </c>
      <c r="L44" s="43" t="n">
        <v>-0.2154</v>
      </c>
      <c r="M44" s="43" t="n">
        <v>-0.2048</v>
      </c>
      <c r="N44" s="43" t="n">
        <v>-0.2017</v>
      </c>
      <c r="O44" s="43" t="n">
        <v>-0.4912</v>
      </c>
      <c r="P44" s="43" t="n">
        <v>-0.2992</v>
      </c>
      <c r="Q44" s="44" t="n">
        <v>6.63</v>
      </c>
      <c r="R44" s="44" t="n">
        <v>0.84</v>
      </c>
      <c r="S44" s="44" t="n">
        <v>1.01</v>
      </c>
      <c r="T44" s="44" t="n">
        <v>-8.49</v>
      </c>
      <c r="U44" s="45">
        <f>MAX(ABS(C44-L44),ABS(D44-M44),ABS(E44-N44),ABS(F44-O44),ABS(G44-P44),ABS(H44-Q44)/100,ABS(I44-R44)/100,ABS(J44-S44)/100,ABS(K44-T44)/100)</f>
        <v/>
      </c>
      <c r="V44" s="46">
        <f>SUMPRODUCT(--(SIGN(ROUND(C44:G44,4))&lt;&gt;SIGN(ROUND(L44:P44,4))))+SUMPRODUCT(--(SIGN(ROUND(H44:K44,2))&lt;&gt;SIGN(ROUND(Q44:T44,2))))</f>
        <v/>
      </c>
    </row>
    <row r="45" ht="15" customHeight="1" s="28">
      <c r="A45" s="37" t="n">
        <v>2</v>
      </c>
      <c r="B45" s="37" t="inlineStr">
        <is>
          <t>SA</t>
        </is>
      </c>
      <c r="C45" s="40">
        <f>C8/C17-1</f>
        <v/>
      </c>
      <c r="D45" s="40">
        <f>D8/D17-1</f>
        <v/>
      </c>
      <c r="E45" s="40">
        <f>E8/E17-1</f>
        <v/>
      </c>
      <c r="F45" s="40">
        <f>F8/F17-1</f>
        <v/>
      </c>
      <c r="G45" s="40">
        <f>G8/G17-1</f>
        <v/>
      </c>
      <c r="H45" s="42">
        <f>(J8-J17)*100</f>
        <v/>
      </c>
      <c r="I45" s="42">
        <f>(K8-K17)*100</f>
        <v/>
      </c>
      <c r="J45" s="42">
        <f>(L8-L17)*100</f>
        <v/>
      </c>
      <c r="K45" s="42">
        <f>(M8-M17)*100</f>
        <v/>
      </c>
      <c r="L45" s="43" t="n">
        <v>0.0048</v>
      </c>
      <c r="M45" s="43" t="n">
        <v>0.0046</v>
      </c>
      <c r="N45" s="43" t="n">
        <v>0.0219</v>
      </c>
      <c r="O45" s="43" t="n">
        <v>-0.076</v>
      </c>
      <c r="P45" s="43" t="n">
        <v>-0.0092</v>
      </c>
      <c r="Q45" s="44" t="n">
        <v>0.8100000000000001</v>
      </c>
      <c r="R45" s="44" t="n">
        <v>0.22</v>
      </c>
      <c r="S45" s="44" t="n">
        <v>0.25</v>
      </c>
      <c r="T45" s="44" t="n">
        <v>-1.28</v>
      </c>
      <c r="U45" s="45">
        <f>MAX(ABS(C45-L45),ABS(D45-M45),ABS(E45-N45),ABS(F45-O45),ABS(G45-P45),ABS(H45-Q45)/100,ABS(I45-R45)/100,ABS(J45-S45)/100,ABS(K45-T45)/100)</f>
        <v/>
      </c>
      <c r="V45" s="46">
        <f>SUMPRODUCT(--(SIGN(ROUND(C45:G45,4))&lt;&gt;SIGN(ROUND(L45:P45,4))))+SUMPRODUCT(--(SIGN(ROUND(H45:K45,2))&lt;&gt;SIGN(ROUND(Q45:T45,2))))</f>
        <v/>
      </c>
    </row>
    <row r="46" ht="15" customHeight="1" s="28">
      <c r="A46" s="37" t="n">
        <v>3</v>
      </c>
      <c r="B46" s="37" t="inlineStr">
        <is>
          <t>Deposits</t>
        </is>
      </c>
      <c r="C46" s="40">
        <f>C9/C18-1</f>
        <v/>
      </c>
      <c r="D46" s="40">
        <f>D9/D18-1</f>
        <v/>
      </c>
      <c r="E46" s="40">
        <f>E9/E18-1</f>
        <v/>
      </c>
      <c r="F46" s="40">
        <f>F9/F18-1</f>
        <v/>
      </c>
      <c r="G46" s="40">
        <f>G9/G18-1</f>
        <v/>
      </c>
      <c r="H46" s="42">
        <f>(J9-J18)*100</f>
        <v/>
      </c>
      <c r="I46" s="42">
        <f>(K9-K18)*100</f>
        <v/>
      </c>
      <c r="J46" s="42">
        <f>(L9-L18)*100</f>
        <v/>
      </c>
      <c r="K46" s="42">
        <f>(M9-M18)*100</f>
        <v/>
      </c>
      <c r="L46" s="43" t="n">
        <v>1.1167</v>
      </c>
      <c r="M46" s="43" t="n">
        <v>0.2488</v>
      </c>
      <c r="N46" s="43" t="n">
        <v>0.1749</v>
      </c>
      <c r="O46" s="43" t="n">
        <v>-0.0982</v>
      </c>
      <c r="P46" s="43" t="n">
        <v>0.4744</v>
      </c>
      <c r="Q46" s="44" t="n">
        <v>18.36</v>
      </c>
      <c r="R46" s="44" t="n">
        <v>-1.55</v>
      </c>
      <c r="S46" s="44" t="n">
        <v>-1.9</v>
      </c>
      <c r="T46" s="44" t="n">
        <v>-14.91</v>
      </c>
      <c r="U46" s="45">
        <f>MAX(ABS(C46-L46),ABS(D46-M46),ABS(E46-N46),ABS(F46-O46),ABS(G46-P46),ABS(H46-Q46)/100,ABS(I46-R46)/100,ABS(J46-S46)/100,ABS(K46-T46)/100)</f>
        <v/>
      </c>
      <c r="V46" s="46">
        <f>SUMPRODUCT(--(SIGN(ROUND(C46:G46,4))&lt;&gt;SIGN(ROUND(L46:P46,4))))+SUMPRODUCT(--(SIGN(ROUND(H46:K46,2))&lt;&gt;SIGN(ROUND(Q46:T46,2))))</f>
        <v/>
      </c>
    </row>
    <row r="47" ht="15" customHeight="1" s="28">
      <c r="A47" s="37" t="n">
        <v>4</v>
      </c>
      <c r="B47" s="37" t="inlineStr">
        <is>
          <t>ODFD</t>
        </is>
      </c>
      <c r="C47" s="40">
        <f>C10/C19-1</f>
        <v/>
      </c>
      <c r="D47" s="40">
        <f>D10/D19-1</f>
        <v/>
      </c>
      <c r="E47" s="40">
        <f>E10/E19-1</f>
        <v/>
      </c>
      <c r="F47" s="40">
        <f>F10/F19-1</f>
        <v/>
      </c>
      <c r="G47" s="40">
        <f>G10/G19-1</f>
        <v/>
      </c>
      <c r="H47" s="42">
        <f>(J10-J19)*100</f>
        <v/>
      </c>
      <c r="I47" s="42">
        <f>(K10-K19)*100</f>
        <v/>
      </c>
      <c r="J47" s="42">
        <f>(L10-L19)*100</f>
        <v/>
      </c>
      <c r="K47" s="42">
        <f>(M10-M19)*100</f>
        <v/>
      </c>
      <c r="L47" s="43" t="n">
        <v>-0.0251</v>
      </c>
      <c r="M47" s="43" t="n">
        <v>-0.296</v>
      </c>
      <c r="N47" s="43" t="n">
        <v>-0.0805</v>
      </c>
      <c r="O47" s="43" t="n">
        <v>-0.09039999999999999</v>
      </c>
      <c r="P47" s="43" t="n">
        <v>-0.1099</v>
      </c>
      <c r="Q47" s="44" t="n">
        <v>4.54</v>
      </c>
      <c r="R47" s="44" t="n">
        <v>-5.23</v>
      </c>
      <c r="S47" s="44" t="n">
        <v>0.29</v>
      </c>
      <c r="T47" s="44" t="n">
        <v>0.41</v>
      </c>
      <c r="U47" s="45">
        <f>MAX(ABS(C47-L47),ABS(D47-M47),ABS(E47-N47),ABS(F47-O47),ABS(G47-P47),ABS(H47-Q47)/100,ABS(I47-R47)/100,ABS(J47-S47)/100,ABS(K47-T47)/100)</f>
        <v/>
      </c>
      <c r="V47" s="46">
        <f>SUMPRODUCT(--(SIGN(ROUND(C47:G47,4))&lt;&gt;SIGN(ROUND(L47:P47,4))))+SUMPRODUCT(--(SIGN(ROUND(H47:K47,2))&lt;&gt;SIGN(ROUND(Q47:T47,2))))</f>
        <v/>
      </c>
    </row>
    <row r="48" ht="15" customHeight="1" s="28">
      <c r="A48" s="37" t="n">
        <v>5</v>
      </c>
      <c r="B48" s="41" t="inlineStr">
        <is>
          <t>Grand Total</t>
        </is>
      </c>
      <c r="C48" s="40">
        <f>C11/C20-1</f>
        <v/>
      </c>
      <c r="D48" s="40">
        <f>D11/D20-1</f>
        <v/>
      </c>
      <c r="E48" s="40">
        <f>E11/E20-1</f>
        <v/>
      </c>
      <c r="F48" s="40">
        <f>F11/F20-1</f>
        <v/>
      </c>
      <c r="G48" s="40">
        <f>G11/G20-1</f>
        <v/>
      </c>
      <c r="H48" s="42">
        <f>(J11-J20)*100</f>
        <v/>
      </c>
      <c r="I48" s="42">
        <f>(K11-K20)*100</f>
        <v/>
      </c>
      <c r="J48" s="42">
        <f>(L11-L20)*100</f>
        <v/>
      </c>
      <c r="K48" s="42">
        <f>(M11-M20)*100</f>
        <v/>
      </c>
      <c r="L48" s="43" t="n">
        <v>0.6545</v>
      </c>
      <c r="M48" s="43" t="n">
        <v>0.1441</v>
      </c>
      <c r="N48" s="43" t="n">
        <v>0.1126</v>
      </c>
      <c r="O48" s="43" t="n">
        <v>-0.1322</v>
      </c>
      <c r="P48" s="43" t="n">
        <v>0.2883</v>
      </c>
      <c r="Q48" s="44" t="n">
        <v>13.31</v>
      </c>
      <c r="R48" s="44" t="n">
        <v>-1.23</v>
      </c>
      <c r="S48" s="44" t="n">
        <v>-1.21</v>
      </c>
      <c r="T48" s="44" t="n">
        <v>-10.87</v>
      </c>
      <c r="U48" s="45">
        <f>MAX(ABS(C48-L48),ABS(D48-M48),ABS(E48-N48),ABS(F48-O48),ABS(G48-P48),ABS(H48-Q48)/100,ABS(I48-R48)/100,ABS(J48-S48)/100,ABS(K48-T48)/100)</f>
        <v/>
      </c>
      <c r="V48" s="46">
        <f>SUMPRODUCT(--(SIGN(ROUND(C48:G48,4))&lt;&gt;SIGN(ROUND(L48:P48,4))))+SUMPRODUCT(--(SIGN(ROUND(H48:K48,2))&lt;&gt;SIGN(ROUND(Q48:T48,2))))</f>
        <v/>
      </c>
    </row>
    <row r="50" ht="15" customHeight="1" s="28">
      <c r="A50" s="32" t="inlineStr">
        <is>
          <t>CM vs LM: computed growth and share shift vs printed (signed as printed)</t>
        </is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</row>
    <row r="51" ht="46.25" customHeight="1" s="28">
      <c r="A51" s="36" t="inlineStr">
        <is>
          <t>#</t>
        </is>
      </c>
      <c r="B51" s="36" t="inlineStr">
        <is>
          <t>Product</t>
        </is>
      </c>
      <c r="C51" s="36" t="inlineStr">
        <is>
          <t>g INSIGNIA</t>
        </is>
      </c>
      <c r="D51" s="36" t="inlineStr">
        <is>
          <t>g SIGNATURE</t>
        </is>
      </c>
      <c r="E51" s="36" t="inlineStr">
        <is>
          <t>g ASPIRE</t>
        </is>
      </c>
      <c r="F51" s="36" t="inlineStr">
        <is>
          <t>g MASS</t>
        </is>
      </c>
      <c r="G51" s="36" t="inlineStr">
        <is>
          <t>g Total</t>
        </is>
      </c>
      <c r="H51" s="36" t="inlineStr">
        <is>
          <t>Δshare INSIGNIA (pp)</t>
        </is>
      </c>
      <c r="I51" s="36" t="inlineStr">
        <is>
          <t>Δshare SIGNATURE (pp)</t>
        </is>
      </c>
      <c r="J51" s="36" t="inlineStr">
        <is>
          <t>Δshare ASPIRE (pp)</t>
        </is>
      </c>
      <c r="K51" s="36" t="inlineStr">
        <is>
          <t>Δshare MASS (pp)</t>
        </is>
      </c>
      <c r="L51" s="36" t="inlineStr">
        <is>
          <t>Printed g INSIGNIA</t>
        </is>
      </c>
      <c r="M51" s="36" t="inlineStr">
        <is>
          <t>Printed g SIGNATURE</t>
        </is>
      </c>
      <c r="N51" s="36" t="inlineStr">
        <is>
          <t>Printed g ASPIRE</t>
        </is>
      </c>
      <c r="O51" s="36" t="inlineStr">
        <is>
          <t>Printed g MASS</t>
        </is>
      </c>
      <c r="P51" s="36" t="inlineStr">
        <is>
          <t>Printed g Total</t>
        </is>
      </c>
      <c r="Q51" s="36" t="inlineStr">
        <is>
          <t>Printed Δ INSIGNIA</t>
        </is>
      </c>
      <c r="R51" s="36" t="inlineStr">
        <is>
          <t>Printed Δ SIGNATURE</t>
        </is>
      </c>
      <c r="S51" s="36" t="inlineStr">
        <is>
          <t>Printed Δ ASPIRE</t>
        </is>
      </c>
      <c r="T51" s="36" t="inlineStr">
        <is>
          <t>Printed Δ MASS</t>
        </is>
      </c>
      <c r="U51" s="36" t="inlineStr">
        <is>
          <t>Max |computed − printed| (growth; shift ÷ 100)</t>
        </is>
      </c>
      <c r="V51" s="36" t="inlineStr">
        <is>
          <t>Sign mismatches computed vs printed</t>
        </is>
      </c>
    </row>
    <row r="52" ht="15" customHeight="1" s="28">
      <c r="A52" s="37" t="n">
        <v>1</v>
      </c>
      <c r="B52" s="37" t="inlineStr">
        <is>
          <t>CA</t>
        </is>
      </c>
      <c r="C52" s="40">
        <f>C7/C25-1</f>
        <v/>
      </c>
      <c r="D52" s="40">
        <f>D7/D25-1</f>
        <v/>
      </c>
      <c r="E52" s="40">
        <f>E7/E25-1</f>
        <v/>
      </c>
      <c r="F52" s="40">
        <f>F7/F25-1</f>
        <v/>
      </c>
      <c r="G52" s="40">
        <f>G7/G25-1</f>
        <v/>
      </c>
      <c r="H52" s="42">
        <f>(J7-J25)*100</f>
        <v/>
      </c>
      <c r="I52" s="42">
        <f>(K7-K25)*100</f>
        <v/>
      </c>
      <c r="J52" s="42">
        <f>(L7-L25)*100</f>
        <v/>
      </c>
      <c r="K52" s="42">
        <f>(M7-M25)*100</f>
        <v/>
      </c>
      <c r="L52" s="43" t="n">
        <v>0.0201</v>
      </c>
      <c r="M52" s="43" t="n">
        <v>-0.1062</v>
      </c>
      <c r="N52" s="43" t="n">
        <v>-0.0359</v>
      </c>
      <c r="O52" s="43" t="n">
        <v>-0.1495</v>
      </c>
      <c r="P52" s="43" t="n">
        <v>-0.0374</v>
      </c>
      <c r="Q52" s="44" t="n">
        <v>3.5</v>
      </c>
      <c r="R52" s="44" t="n">
        <v>-0.55</v>
      </c>
      <c r="S52" s="44" t="n">
        <v>0.01</v>
      </c>
      <c r="T52" s="44" t="n">
        <v>-2.96</v>
      </c>
      <c r="U52" s="45">
        <f>MAX(ABS(C52-L52),ABS(D52-M52),ABS(E52-N52),ABS(F52-O52),ABS(G52-P52),ABS(H52-Q52)/100,ABS(I52-R52)/100,ABS(J52-S52)/100,ABS(K52-T52)/100)</f>
        <v/>
      </c>
      <c r="V52" s="46">
        <f>SUMPRODUCT(--(SIGN(ROUND(C52:G52,4))&lt;&gt;SIGN(ROUND(L52:P52,4))))+SUMPRODUCT(--(SIGN(ROUND(H52:K52,2))&lt;&gt;SIGN(ROUND(Q52:T52,2))))</f>
        <v/>
      </c>
    </row>
    <row r="53" ht="15" customHeight="1" s="28">
      <c r="A53" s="37" t="n">
        <v>2</v>
      </c>
      <c r="B53" s="37" t="inlineStr">
        <is>
          <t>SA</t>
        </is>
      </c>
      <c r="C53" s="40">
        <f>C8/C26-1</f>
        <v/>
      </c>
      <c r="D53" s="40">
        <f>D8/D26-1</f>
        <v/>
      </c>
      <c r="E53" s="40">
        <f>E8/E26-1</f>
        <v/>
      </c>
      <c r="F53" s="40">
        <f>F8/F26-1</f>
        <v/>
      </c>
      <c r="G53" s="40">
        <f>G8/G26-1</f>
        <v/>
      </c>
      <c r="H53" s="42">
        <f>(J8-J26)*100</f>
        <v/>
      </c>
      <c r="I53" s="42">
        <f>(K8-K26)*100</f>
        <v/>
      </c>
      <c r="J53" s="42">
        <f>(L8-L26)*100</f>
        <v/>
      </c>
      <c r="K53" s="42">
        <f>(M8-M26)*100</f>
        <v/>
      </c>
      <c r="L53" s="43" t="n">
        <v>0.0132</v>
      </c>
      <c r="M53" s="43" t="n">
        <v>-0.0073</v>
      </c>
      <c r="N53" s="43" t="n">
        <v>0.0114</v>
      </c>
      <c r="O53" s="43" t="n">
        <v>0.003</v>
      </c>
      <c r="P53" s="43" t="n">
        <v>0.007900000000000001</v>
      </c>
      <c r="Q53" s="44" t="n">
        <v>0.3</v>
      </c>
      <c r="R53" s="44" t="n">
        <v>-0.25</v>
      </c>
      <c r="S53" s="44" t="n">
        <v>0.03</v>
      </c>
      <c r="T53" s="44" t="n">
        <v>-0.09</v>
      </c>
      <c r="U53" s="45">
        <f>MAX(ABS(C53-L53),ABS(D53-M53),ABS(E53-N53),ABS(F53-O53),ABS(G53-P53),ABS(H53-Q53)/100,ABS(I53-R53)/100,ABS(J53-S53)/100,ABS(K53-T53)/100)</f>
        <v/>
      </c>
      <c r="V53" s="46">
        <f>SUMPRODUCT(--(SIGN(ROUND(C53:G53,4))&lt;&gt;SIGN(ROUND(L53:P53,4))))+SUMPRODUCT(--(SIGN(ROUND(H53:K53,2))&lt;&gt;SIGN(ROUND(Q53:T53,2))))</f>
        <v/>
      </c>
    </row>
    <row r="54" ht="15" customHeight="1" s="28">
      <c r="A54" s="37" t="n">
        <v>3</v>
      </c>
      <c r="B54" s="37" t="inlineStr">
        <is>
          <t>Deposits</t>
        </is>
      </c>
      <c r="C54" s="40">
        <f>C9/C27-1</f>
        <v/>
      </c>
      <c r="D54" s="40">
        <f>D9/D27-1</f>
        <v/>
      </c>
      <c r="E54" s="40">
        <f>E9/E27-1</f>
        <v/>
      </c>
      <c r="F54" s="40">
        <f>F9/F27-1</f>
        <v/>
      </c>
      <c r="G54" s="40">
        <f>G9/G27-1</f>
        <v/>
      </c>
      <c r="H54" s="42">
        <f>(J9-J27)*100</f>
        <v/>
      </c>
      <c r="I54" s="42">
        <f>(K9-K27)*100</f>
        <v/>
      </c>
      <c r="J54" s="42">
        <f>(L9-L27)*100</f>
        <v/>
      </c>
      <c r="K54" s="42">
        <f>(M9-M27)*100</f>
        <v/>
      </c>
      <c r="L54" s="43" t="n">
        <v>0.5596</v>
      </c>
      <c r="M54" s="43" t="n">
        <v>0.125</v>
      </c>
      <c r="N54" s="43" t="n">
        <v>0.1005</v>
      </c>
      <c r="O54" s="43" t="n">
        <v>-0.0287</v>
      </c>
      <c r="P54" s="43" t="n">
        <v>0.2927</v>
      </c>
      <c r="Q54" s="44" t="n">
        <v>10.35</v>
      </c>
      <c r="R54" s="44" t="n">
        <v>-1.28</v>
      </c>
      <c r="S54" s="44" t="n">
        <v>-1.3</v>
      </c>
      <c r="T54" s="44" t="n">
        <v>-7.77</v>
      </c>
      <c r="U54" s="45">
        <f>MAX(ABS(C54-L54),ABS(D54-M54),ABS(E54-N54),ABS(F54-O54),ABS(G54-P54),ABS(H54-Q54)/100,ABS(I54-R54)/100,ABS(J54-S54)/100,ABS(K54-T54)/100)</f>
        <v/>
      </c>
      <c r="V54" s="46">
        <f>SUMPRODUCT(--(SIGN(ROUND(C54:G54,4))&lt;&gt;SIGN(ROUND(L54:P54,4))))+SUMPRODUCT(--(SIGN(ROUND(H54:K54,2))&lt;&gt;SIGN(ROUND(Q54:T54,2))))</f>
        <v/>
      </c>
    </row>
    <row r="55" ht="15" customHeight="1" s="28">
      <c r="A55" s="37" t="n">
        <v>4</v>
      </c>
      <c r="B55" s="37" t="inlineStr">
        <is>
          <t>ODFD</t>
        </is>
      </c>
      <c r="C55" s="40">
        <f>C10/C28-1</f>
        <v/>
      </c>
      <c r="D55" s="40">
        <f>D10/D28-1</f>
        <v/>
      </c>
      <c r="E55" s="40">
        <f>E10/E28-1</f>
        <v/>
      </c>
      <c r="F55" s="40">
        <f>F10/F28-1</f>
        <v/>
      </c>
      <c r="G55" s="40">
        <f>G10/G28-1</f>
        <v/>
      </c>
      <c r="H55" s="42">
        <f>(J10-J28)*100</f>
        <v/>
      </c>
      <c r="I55" s="42">
        <f>(K10-K28)*100</f>
        <v/>
      </c>
      <c r="J55" s="42">
        <f>(L10-L28)*100</f>
        <v/>
      </c>
      <c r="K55" s="42">
        <f>(M10-M28)*100</f>
        <v/>
      </c>
      <c r="L55" s="43" t="n">
        <v>-0.3147</v>
      </c>
      <c r="M55" s="43" t="n">
        <v>-0.032</v>
      </c>
      <c r="N55" s="43" t="n">
        <v>-0.4418</v>
      </c>
      <c r="O55" s="43" t="n">
        <v>-0.09569999999999999</v>
      </c>
      <c r="P55" s="43" t="n">
        <v>-0.2521</v>
      </c>
      <c r="Q55" s="44" t="n">
        <v>-4.76</v>
      </c>
      <c r="R55" s="44" t="n">
        <v>4.5</v>
      </c>
      <c r="S55" s="44" t="n">
        <v>-3.05</v>
      </c>
      <c r="T55" s="44" t="n">
        <v>3.3</v>
      </c>
      <c r="U55" s="45">
        <f>MAX(ABS(C55-L55),ABS(D55-M55),ABS(E55-N55),ABS(F55-O55),ABS(G55-P55),ABS(H55-Q55)/100,ABS(I55-R55)/100,ABS(J55-S55)/100,ABS(K55-T55)/100)</f>
        <v/>
      </c>
      <c r="V55" s="46">
        <f>SUMPRODUCT(--(SIGN(ROUND(C55:G55,4))&lt;&gt;SIGN(ROUND(L55:P55,4))))+SUMPRODUCT(--(SIGN(ROUND(H55:K55,2))&lt;&gt;SIGN(ROUND(Q55:T55,2))))</f>
        <v/>
      </c>
    </row>
    <row r="56" ht="15" customHeight="1" s="28">
      <c r="A56" s="37" t="n">
        <v>5</v>
      </c>
      <c r="B56" s="41" t="inlineStr">
        <is>
          <t>Grand Total</t>
        </is>
      </c>
      <c r="C56" s="40">
        <f>C11/C29-1</f>
        <v/>
      </c>
      <c r="D56" s="40">
        <f>D11/D29-1</f>
        <v/>
      </c>
      <c r="E56" s="40">
        <f>E11/E29-1</f>
        <v/>
      </c>
      <c r="F56" s="40">
        <f>F11/F29-1</f>
        <v/>
      </c>
      <c r="G56" s="40">
        <f>G11/G29-1</f>
        <v/>
      </c>
      <c r="H56" s="42">
        <f>(J11-J29)*100</f>
        <v/>
      </c>
      <c r="I56" s="42">
        <f>(K11-K29)*100</f>
        <v/>
      </c>
      <c r="J56" s="42">
        <f>(L11-L29)*100</f>
        <v/>
      </c>
      <c r="K56" s="42">
        <f>(M11-M29)*100</f>
        <v/>
      </c>
      <c r="L56" s="43" t="n">
        <v>0.3933</v>
      </c>
      <c r="M56" s="43" t="n">
        <v>0.0735</v>
      </c>
      <c r="N56" s="43" t="n">
        <v>0.0737</v>
      </c>
      <c r="O56" s="43" t="n">
        <v>-0.0321</v>
      </c>
      <c r="P56" s="43" t="n">
        <v>0.211</v>
      </c>
      <c r="Q56" s="44" t="n">
        <v>7.87</v>
      </c>
      <c r="R56" s="44" t="n">
        <v>-1.26</v>
      </c>
      <c r="S56" s="44" t="n">
        <v>-0.98</v>
      </c>
      <c r="T56" s="44" t="n">
        <v>-5.64</v>
      </c>
      <c r="U56" s="45">
        <f>MAX(ABS(C56-L56),ABS(D56-M56),ABS(E56-N56),ABS(F56-O56),ABS(G56-P56),ABS(H56-Q56)/100,ABS(I56-R56)/100,ABS(J56-S56)/100,ABS(K56-T56)/100)</f>
        <v/>
      </c>
      <c r="V56" s="46">
        <f>SUMPRODUCT(--(SIGN(ROUND(C56:G56,4))&lt;&gt;SIGN(ROUND(L56:P56,4))))+SUMPRODUCT(--(SIGN(ROUND(H56:K56,2))&lt;&gt;SIGN(ROUND(Q56:T56,2))))</f>
        <v/>
      </c>
    </row>
    <row r="58" ht="15" customHeight="1" s="28">
      <c r="A58" s="32" t="inlineStr">
        <is>
          <t>CM vs LQ: computed growth and share shift vs printed (signed as printed)</t>
        </is>
      </c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</row>
    <row r="59" ht="46.25" customHeight="1" s="28">
      <c r="A59" s="36" t="inlineStr">
        <is>
          <t>#</t>
        </is>
      </c>
      <c r="B59" s="36" t="inlineStr">
        <is>
          <t>Product</t>
        </is>
      </c>
      <c r="C59" s="36" t="inlineStr">
        <is>
          <t>g INSIGNIA</t>
        </is>
      </c>
      <c r="D59" s="36" t="inlineStr">
        <is>
          <t>g SIGNATURE</t>
        </is>
      </c>
      <c r="E59" s="36" t="inlineStr">
        <is>
          <t>g ASPIRE</t>
        </is>
      </c>
      <c r="F59" s="36" t="inlineStr">
        <is>
          <t>g MASS</t>
        </is>
      </c>
      <c r="G59" s="36" t="inlineStr">
        <is>
          <t>g Total</t>
        </is>
      </c>
      <c r="H59" s="36" t="inlineStr">
        <is>
          <t>Δshare INSIGNIA (pp)</t>
        </is>
      </c>
      <c r="I59" s="36" t="inlineStr">
        <is>
          <t>Δshare SIGNATURE (pp)</t>
        </is>
      </c>
      <c r="J59" s="36" t="inlineStr">
        <is>
          <t>Δshare ASPIRE (pp)</t>
        </is>
      </c>
      <c r="K59" s="36" t="inlineStr">
        <is>
          <t>Δshare MASS (pp)</t>
        </is>
      </c>
      <c r="L59" s="36" t="inlineStr">
        <is>
          <t>Printed g INSIGNIA</t>
        </is>
      </c>
      <c r="M59" s="36" t="inlineStr">
        <is>
          <t>Printed g SIGNATURE</t>
        </is>
      </c>
      <c r="N59" s="36" t="inlineStr">
        <is>
          <t>Printed g ASPIRE</t>
        </is>
      </c>
      <c r="O59" s="36" t="inlineStr">
        <is>
          <t>Printed g MASS</t>
        </is>
      </c>
      <c r="P59" s="36" t="inlineStr">
        <is>
          <t>Printed g Total</t>
        </is>
      </c>
      <c r="Q59" s="36" t="inlineStr">
        <is>
          <t>Printed Δ INSIGNIA</t>
        </is>
      </c>
      <c r="R59" s="36" t="inlineStr">
        <is>
          <t>Printed Δ SIGNATURE</t>
        </is>
      </c>
      <c r="S59" s="36" t="inlineStr">
        <is>
          <t>Printed Δ ASPIRE</t>
        </is>
      </c>
      <c r="T59" s="36" t="inlineStr">
        <is>
          <t>Printed Δ MASS</t>
        </is>
      </c>
      <c r="U59" s="36" t="inlineStr">
        <is>
          <t>Max |computed − printed| (growth; shift ÷ 100)</t>
        </is>
      </c>
      <c r="V59" s="36" t="inlineStr">
        <is>
          <t>Sign mismatches computed vs printed</t>
        </is>
      </c>
    </row>
    <row r="60" ht="15" customHeight="1" s="28">
      <c r="A60" s="37" t="n">
        <v>1</v>
      </c>
      <c r="B60" s="37" t="inlineStr">
        <is>
          <t>CA</t>
        </is>
      </c>
      <c r="C60" s="40">
        <f>C7/C34-1</f>
        <v/>
      </c>
      <c r="D60" s="40">
        <f>D7/D34-1</f>
        <v/>
      </c>
      <c r="E60" s="40">
        <f>E7/E34-1</f>
        <v/>
      </c>
      <c r="F60" s="40">
        <f>F7/F34-1</f>
        <v/>
      </c>
      <c r="G60" s="40">
        <f>G7/G34-1</f>
        <v/>
      </c>
      <c r="H60" s="42">
        <f>(J7-J34)*100</f>
        <v/>
      </c>
      <c r="I60" s="42">
        <f>(K7-K34)*100</f>
        <v/>
      </c>
      <c r="J60" s="42">
        <f>(L7-L34)*100</f>
        <v/>
      </c>
      <c r="K60" s="42">
        <f>(M7-M34)*100</f>
        <v/>
      </c>
      <c r="L60" s="43" t="n">
        <v>-0.0077</v>
      </c>
      <c r="M60" s="43" t="n">
        <v>-0.0513</v>
      </c>
      <c r="N60" s="43" t="n">
        <v>-0.08500000000000001</v>
      </c>
      <c r="O60" s="43" t="n">
        <v>-0.3157</v>
      </c>
      <c r="P60" s="43" t="n">
        <v>-0.1072</v>
      </c>
      <c r="Q60" s="44" t="n">
        <v>6.23</v>
      </c>
      <c r="R60" s="44" t="n">
        <v>0.42</v>
      </c>
      <c r="S60" s="44" t="n">
        <v>0.2</v>
      </c>
      <c r="T60" s="44" t="n">
        <v>-6.85</v>
      </c>
      <c r="U60" s="45">
        <f>MAX(ABS(C60-L60),ABS(D60-M60),ABS(E60-N60),ABS(F60-O60),ABS(G60-P60),ABS(H60-Q60)/100,ABS(I60-R60)/100,ABS(J60-S60)/100,ABS(K60-T60)/100)</f>
        <v/>
      </c>
      <c r="V60" s="46">
        <f>SUMPRODUCT(--(SIGN(ROUND(C60:G60,4))&lt;&gt;SIGN(ROUND(L60:P60,4))))+SUMPRODUCT(--(SIGN(ROUND(H60:K60,2))&lt;&gt;SIGN(ROUND(Q60:T60,2))))</f>
        <v/>
      </c>
    </row>
    <row r="61" ht="15" customHeight="1" s="28">
      <c r="A61" s="37" t="n">
        <v>2</v>
      </c>
      <c r="B61" s="37" t="inlineStr">
        <is>
          <t>SA</t>
        </is>
      </c>
      <c r="C61" s="40">
        <f>C8/C35-1</f>
        <v/>
      </c>
      <c r="D61" s="40">
        <f>D8/D35-1</f>
        <v/>
      </c>
      <c r="E61" s="40">
        <f>E8/E35-1</f>
        <v/>
      </c>
      <c r="F61" s="40">
        <f>F8/F35-1</f>
        <v/>
      </c>
      <c r="G61" s="40">
        <f>G8/G35-1</f>
        <v/>
      </c>
      <c r="H61" s="42">
        <f>(J8-J35)*100</f>
        <v/>
      </c>
      <c r="I61" s="42">
        <f>(K8-K35)*100</f>
        <v/>
      </c>
      <c r="J61" s="42">
        <f>(L8-L35)*100</f>
        <v/>
      </c>
      <c r="K61" s="42">
        <f>(M8-M35)*100</f>
        <v/>
      </c>
      <c r="L61" s="43" t="n">
        <v>0.0187</v>
      </c>
      <c r="M61" s="43" t="n">
        <v>0.0022</v>
      </c>
      <c r="N61" s="43" t="n">
        <v>-0.0123</v>
      </c>
      <c r="O61" s="43" t="n">
        <v>0.03</v>
      </c>
      <c r="P61" s="43" t="n">
        <v>0.0153</v>
      </c>
      <c r="Q61" s="44" t="n">
        <v>0.19</v>
      </c>
      <c r="R61" s="44" t="n">
        <v>-0.21</v>
      </c>
      <c r="S61" s="44" t="n">
        <v>-0.23</v>
      </c>
      <c r="T61" s="44" t="n">
        <v>0.25</v>
      </c>
      <c r="U61" s="45">
        <f>MAX(ABS(C61-L61),ABS(D61-M61),ABS(E61-N61),ABS(F61-O61),ABS(G61-P61),ABS(H61-Q61)/100,ABS(I61-R61)/100,ABS(J61-S61)/100,ABS(K61-T61)/100)</f>
        <v/>
      </c>
      <c r="V61" s="46">
        <f>SUMPRODUCT(--(SIGN(ROUND(C61:G61,4))&lt;&gt;SIGN(ROUND(L61:P61,4))))+SUMPRODUCT(--(SIGN(ROUND(H61:K61,2))&lt;&gt;SIGN(ROUND(Q61:T61,2))))</f>
        <v/>
      </c>
    </row>
    <row r="62" ht="15" customHeight="1" s="28">
      <c r="A62" s="37" t="n">
        <v>3</v>
      </c>
      <c r="B62" s="37" t="inlineStr">
        <is>
          <t>Deposits</t>
        </is>
      </c>
      <c r="C62" s="40">
        <f>C9/C36-1</f>
        <v/>
      </c>
      <c r="D62" s="40">
        <f>D9/D36-1</f>
        <v/>
      </c>
      <c r="E62" s="40">
        <f>E9/E36-1</f>
        <v/>
      </c>
      <c r="F62" s="40">
        <f>F9/F36-1</f>
        <v/>
      </c>
      <c r="G62" s="40">
        <f>G9/G36-1</f>
        <v/>
      </c>
      <c r="H62" s="42">
        <f>(J9-J36)*100</f>
        <v/>
      </c>
      <c r="I62" s="42">
        <f>(K9-K36)*100</f>
        <v/>
      </c>
      <c r="J62" s="42">
        <f>(L9-L36)*100</f>
        <v/>
      </c>
      <c r="K62" s="42">
        <f>(M9-M36)*100</f>
        <v/>
      </c>
      <c r="L62" s="43" t="n">
        <v>1.0309</v>
      </c>
      <c r="M62" s="43" t="n">
        <v>0.1862</v>
      </c>
      <c r="N62" s="43" t="n">
        <v>0.1372</v>
      </c>
      <c r="O62" s="43" t="n">
        <v>-0.0689</v>
      </c>
      <c r="P62" s="43" t="n">
        <v>0.4538</v>
      </c>
      <c r="Q62" s="44" t="n">
        <v>17.19</v>
      </c>
      <c r="R62" s="44" t="n">
        <v>-1.94</v>
      </c>
      <c r="S62" s="44" t="n">
        <v>-2.07</v>
      </c>
      <c r="T62" s="44" t="n">
        <v>-13.18</v>
      </c>
      <c r="U62" s="45">
        <f>MAX(ABS(C62-L62),ABS(D62-M62),ABS(E62-N62),ABS(F62-O62),ABS(G62-P62),ABS(H62-Q62)/100,ABS(I62-R62)/100,ABS(J62-S62)/100,ABS(K62-T62)/100)</f>
        <v/>
      </c>
      <c r="V62" s="46">
        <f>SUMPRODUCT(--(SIGN(ROUND(C62:G62,4))&lt;&gt;SIGN(ROUND(L62:P62,4))))+SUMPRODUCT(--(SIGN(ROUND(H62:K62,2))&lt;&gt;SIGN(ROUND(Q62:T62,2))))</f>
        <v/>
      </c>
    </row>
    <row r="63" ht="15" customHeight="1" s="28">
      <c r="A63" s="37" t="n">
        <v>4</v>
      </c>
      <c r="B63" s="37" t="inlineStr">
        <is>
          <t>ODFD</t>
        </is>
      </c>
      <c r="C63" s="40">
        <f>C10/C37-1</f>
        <v/>
      </c>
      <c r="D63" s="40">
        <f>D10/D37-1</f>
        <v/>
      </c>
      <c r="E63" s="40">
        <f>E10/E37-1</f>
        <v/>
      </c>
      <c r="F63" s="40">
        <f>F10/F37-1</f>
        <v/>
      </c>
      <c r="G63" s="40">
        <f>G10/G37-1</f>
        <v/>
      </c>
      <c r="H63" s="42">
        <f>(J10-J37)*100</f>
        <v/>
      </c>
      <c r="I63" s="42">
        <f>(K10-K37)*100</f>
        <v/>
      </c>
      <c r="J63" s="42">
        <f>(L10-L37)*100</f>
        <v/>
      </c>
      <c r="K63" s="42">
        <f>(M10-M37)*100</f>
        <v/>
      </c>
      <c r="L63" s="43" t="n">
        <v>-0.3608</v>
      </c>
      <c r="M63" s="43" t="n">
        <v>-0.0368</v>
      </c>
      <c r="N63" s="43" t="n">
        <v>0.0456</v>
      </c>
      <c r="O63" s="43" t="n">
        <v>-0.0764</v>
      </c>
      <c r="P63" s="43" t="n">
        <v>-0.2387</v>
      </c>
      <c r="Q63" s="44" t="n">
        <v>-9.949999999999999</v>
      </c>
      <c r="R63" s="44" t="n">
        <v>4.15</v>
      </c>
      <c r="S63" s="44" t="n">
        <v>2.44</v>
      </c>
      <c r="T63" s="44" t="n">
        <v>3.36</v>
      </c>
      <c r="U63" s="45">
        <f>MAX(ABS(C63-L63),ABS(D63-M63),ABS(E63-N63),ABS(F63-O63),ABS(G63-P63),ABS(H63-Q63)/100,ABS(I63-R63)/100,ABS(J63-S63)/100,ABS(K63-T63)/100)</f>
        <v/>
      </c>
      <c r="V63" s="46">
        <f>SUMPRODUCT(--(SIGN(ROUND(C63:G63,4))&lt;&gt;SIGN(ROUND(L63:P63,4))))+SUMPRODUCT(--(SIGN(ROUND(H63:K63,2))&lt;&gt;SIGN(ROUND(Q63:T63,2))))</f>
        <v/>
      </c>
    </row>
    <row r="64" ht="15" customHeight="1" s="28">
      <c r="A64" s="37" t="n">
        <v>5</v>
      </c>
      <c r="B64" s="41" t="inlineStr">
        <is>
          <t>Grand Total</t>
        </is>
      </c>
      <c r="C64" s="40">
        <f>C11/C38-1</f>
        <v/>
      </c>
      <c r="D64" s="40">
        <f>D11/D38-1</f>
        <v/>
      </c>
      <c r="E64" s="40">
        <f>E11/E38-1</f>
        <v/>
      </c>
      <c r="F64" s="40">
        <f>F11/F38-1</f>
        <v/>
      </c>
      <c r="G64" s="40">
        <f>G11/G38-1</f>
        <v/>
      </c>
      <c r="H64" s="42">
        <f>(J11-J38)*100</f>
        <v/>
      </c>
      <c r="I64" s="42">
        <f>(K11-K38)*100</f>
        <v/>
      </c>
      <c r="J64" s="42">
        <f>(L11-L38)*100</f>
        <v/>
      </c>
      <c r="K64" s="42">
        <f>(M11-M38)*100</f>
        <v/>
      </c>
      <c r="L64" s="43" t="n">
        <v>0.6593</v>
      </c>
      <c r="M64" s="43" t="n">
        <v>0.1171</v>
      </c>
      <c r="N64" s="43" t="n">
        <v>0.0907</v>
      </c>
      <c r="O64" s="43" t="n">
        <v>-0.0752</v>
      </c>
      <c r="P64" s="43" t="n">
        <v>0.3112</v>
      </c>
      <c r="Q64" s="44" t="n">
        <v>12.62</v>
      </c>
      <c r="R64" s="44" t="n">
        <v>-1.7</v>
      </c>
      <c r="S64" s="44" t="n">
        <v>-1.54</v>
      </c>
      <c r="T64" s="44" t="n">
        <v>-9.369999999999999</v>
      </c>
      <c r="U64" s="45">
        <f>MAX(ABS(C64-L64),ABS(D64-M64),ABS(E64-N64),ABS(F64-O64),ABS(G64-P64),ABS(H64-Q64)/100,ABS(I64-R64)/100,ABS(J64-S64)/100,ABS(K64-T64)/100)</f>
        <v/>
      </c>
      <c r="V64" s="46">
        <f>SUMPRODUCT(--(SIGN(ROUND(C64:G64,4))&lt;&gt;SIGN(ROUND(L64:P64,4))))+SUMPRODUCT(--(SIGN(ROUND(H64:K64,2))&lt;&gt;SIGN(ROUND(Q64:T64,2))))</f>
        <v/>
      </c>
    </row>
    <row r="67" ht="15" customHeight="1" s="28">
      <c r="A67" s="32" t="inlineStr">
        <is>
          <t>Data points to flag before metrics (live checks)</t>
        </is>
      </c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</row>
    <row r="68" ht="23.85" customHeight="1" s="28">
      <c r="A68" s="36" t="inlineStr">
        <is>
          <t>#</t>
        </is>
      </c>
      <c r="B68" s="36" t="inlineStr">
        <is>
          <t>Flag</t>
        </is>
      </c>
      <c r="C68" s="36" t="inlineStr">
        <is>
          <t>Check value (live)</t>
        </is>
      </c>
      <c r="D68" s="36" t="inlineStr">
        <is>
          <t>Unit</t>
        </is>
      </c>
      <c r="E68" s="36" t="inlineStr">
        <is>
          <t>Implication / action</t>
        </is>
      </c>
    </row>
    <row r="69" ht="102.2" customHeight="1" s="28">
      <c r="A69" s="37" t="n">
        <v>1</v>
      </c>
      <c r="B69" s="47" t="inlineStr">
        <is>
          <t>Printed growth and share-shift tables are signed and every cell agrees in sign with the recomputed value (sign mismatches across 135 cells):</t>
        </is>
      </c>
      <c r="C69" s="46">
        <f>SUM(V44:V48,V52:V56,V60:V64)</f>
        <v/>
      </c>
      <c r="D69" s="37" t="inlineStr">
        <is>
          <t>count</t>
        </is>
      </c>
      <c r="E69" s="48" t="inlineStr">
        <is>
          <t>Printed growth can be used directly; 10 of 16 segment × product cells declined YoY (e.g. MASS CA −49.1%, CA total −29.9%).</t>
        </is>
      </c>
    </row>
    <row r="70" ht="57.45" customHeight="1" s="28">
      <c r="A70" s="37" t="n">
        <v>2</v>
      </c>
      <c r="B70" s="47" t="inlineStr">
        <is>
          <t>'Growth in Allocated Segment' is the change in segment share (pp), not a growth rate — e.g. INSIGNIA Grand Total share 60.14% − 46.83% = 13.31 pp.</t>
        </is>
      </c>
      <c r="C70" s="42">
        <f>H48</f>
        <v/>
      </c>
      <c r="D70" s="37" t="inlineStr">
        <is>
          <t>pp</t>
        </is>
      </c>
      <c r="E70" s="48" t="inlineStr">
        <is>
          <t>Relabel as 'share shift' in any downstream metric.</t>
        </is>
      </c>
    </row>
    <row r="71" ht="57.45" customHeight="1" s="28">
      <c r="A71" s="37" t="n">
        <v>3</v>
      </c>
      <c r="B71" s="47" t="inlineStr">
        <is>
          <t>Printed % values tie to recomputed values within rounding (max |computed − printed|); the only gaps above 0.1 pp are ODFD cells, whose balances are under ₹15 Cr:</t>
        </is>
      </c>
      <c r="C71" s="45">
        <f>MAX(U44:U48,U52:U56,U60:U64)</f>
        <v/>
      </c>
      <c r="D71" s="37" t="inlineStr">
        <is>
          <t>%</t>
        </is>
      </c>
      <c r="E71" s="48" t="inlineStr">
        <is>
          <t>Rounding of small balances only.</t>
        </is>
      </c>
    </row>
    <row r="72" ht="35.05" customHeight="1" s="28">
      <c r="A72" s="37" t="n">
        <v>4</v>
      </c>
      <c r="B72" s="47" t="inlineStr">
        <is>
          <t>Σ products vs printed Grand Total (max gap across all periods and segments):</t>
        </is>
      </c>
      <c r="C72" s="39">
        <f>MAX(ABS(C13),ABS(G13),ABS(C22),ABS(G22),ABS(C31),ABS(G31),ABS(C40),ABS(G40))</f>
        <v/>
      </c>
      <c r="D72" s="37" t="inlineStr">
        <is>
          <t>₹ Cr</t>
        </is>
      </c>
      <c r="E72" s="48" t="inlineStr">
        <is>
          <t>Table rolls up.</t>
        </is>
      </c>
    </row>
    <row r="73" ht="79.84999999999999" customHeight="1" s="28">
      <c r="A73" s="37" t="n">
        <v>5</v>
      </c>
      <c r="B73" s="47" t="inlineStr">
        <is>
          <t>INSIGNIA deposits more than doubled YoY (+₹27,914 Cr) while MASS deposits fell — total book growth is almost entirely INSIGNIA TD.</t>
        </is>
      </c>
      <c r="C73" s="39">
        <f>C9-C18</f>
        <v/>
      </c>
      <c r="D73" s="37" t="inlineStr">
        <is>
          <t>₹ Cr</t>
        </is>
      </c>
      <c r="E73" s="48" t="inlineStr">
        <is>
          <t>Concentration in one segment / product; check if a few large depositors drive it.</t>
        </is>
      </c>
    </row>
    <row r="74" ht="46.25" customHeight="1" s="28">
      <c r="A74" s="37" t="n">
        <v>6</v>
      </c>
      <c r="B74" s="47" t="inlineStr">
        <is>
          <t>CM MEB grand total (113,110) differs from the Balance Movement CM MAB grand total (115,449): MEB vs MAB basis.</t>
        </is>
      </c>
      <c r="C74" s="49">
        <f>B2_Balance_Movement!J25-G11</f>
        <v/>
      </c>
      <c r="D74" s="37" t="inlineStr">
        <is>
          <t>₹ Cr</t>
        </is>
      </c>
      <c r="E74" s="48" t="inlineStr">
        <is>
          <t>State MEB vs MAB basis on every number.</t>
        </is>
      </c>
    </row>
    <row r="76" ht="15" customHeight="1" s="28">
      <c r="A76" s="32" t="inlineStr">
        <is>
          <t>Notation and exhaustive metrics table for this block: see sheet B1_Metrics</t>
        </is>
      </c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</row>
    <row r="78" ht="15" customHeight="1" s="28">
      <c r="A78" s="32" t="inlineStr">
        <is>
          <t>10-question test set (3 Low / 4 Medium / 3 High) — expected answers are live formulas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</row>
    <row r="79" ht="23.85" customHeight="1" s="28">
      <c r="A79" s="36" t="inlineStr">
        <is>
          <t>#</t>
        </is>
      </c>
      <c r="B79" s="36" t="inlineStr">
        <is>
          <t>Level</t>
        </is>
      </c>
      <c r="C79" s="36" t="inlineStr">
        <is>
          <t>Question</t>
        </is>
      </c>
      <c r="D79" s="36" t="inlineStr">
        <is>
          <t>Calculation</t>
        </is>
      </c>
      <c r="E79" s="36" t="inlineStr">
        <is>
          <t>Expected answer (live)</t>
        </is>
      </c>
      <c r="F79" s="36" t="inlineStr">
        <is>
          <t>Unit</t>
        </is>
      </c>
      <c r="G79" s="36" t="inlineStr">
        <is>
          <t>So what</t>
        </is>
      </c>
    </row>
    <row r="80" ht="57.45" customHeight="1" s="28">
      <c r="A80" s="37" t="n">
        <v>1</v>
      </c>
      <c r="B80" s="41" t="inlineStr">
        <is>
          <t>Low</t>
        </is>
      </c>
      <c r="C80" s="48" t="inlineStr">
        <is>
          <t>What is INSIGNIA deposits MEB in the current month?</t>
        </is>
      </c>
      <c r="D80" s="48" t="inlineStr">
        <is>
          <t>Lookup</t>
        </is>
      </c>
      <c r="E80" s="39">
        <f>C9</f>
        <v/>
      </c>
      <c r="F80" s="37" t="inlineStr">
        <is>
          <t>₹ Cr</t>
        </is>
      </c>
      <c r="G80" s="48" t="n"/>
    </row>
    <row r="81" ht="35.05" customHeight="1" s="28">
      <c r="A81" s="37" t="n">
        <v>2</v>
      </c>
      <c r="B81" s="41" t="inlineStr">
        <is>
          <t>Low</t>
        </is>
      </c>
      <c r="C81" s="48" t="inlineStr">
        <is>
          <t>What is the MASS share of total CM MEB?</t>
        </is>
      </c>
      <c r="D81" s="48" t="inlineStr">
        <is>
          <t>MASS GT / GT</t>
        </is>
      </c>
      <c r="E81" s="40">
        <f>M11</f>
        <v/>
      </c>
      <c r="F81" s="37" t="inlineStr">
        <is>
          <t>%</t>
        </is>
      </c>
      <c r="G81" s="48" t="n"/>
    </row>
    <row r="82" ht="35.05" customHeight="1" s="28">
      <c r="A82" s="37" t="n">
        <v>3</v>
      </c>
      <c r="B82" s="41" t="inlineStr">
        <is>
          <t>Low</t>
        </is>
      </c>
      <c r="C82" s="48" t="inlineStr">
        <is>
          <t>What was last year's grand total MEB?</t>
        </is>
      </c>
      <c r="D82" s="48" t="inlineStr">
        <is>
          <t>Lookup</t>
        </is>
      </c>
      <c r="E82" s="39">
        <f>G20</f>
        <v/>
      </c>
      <c r="F82" s="37" t="inlineStr">
        <is>
          <t>₹ Cr</t>
        </is>
      </c>
      <c r="G82" s="48" t="n"/>
    </row>
    <row r="83" ht="35.05" customHeight="1" s="28">
      <c r="A83" s="37" t="n">
        <v>4</v>
      </c>
      <c r="B83" s="41" t="inlineStr">
        <is>
          <t>Medium</t>
        </is>
      </c>
      <c r="C83" s="48" t="inlineStr">
        <is>
          <t>What is YoY growth of the total book?</t>
        </is>
      </c>
      <c r="D83" s="48" t="inlineStr">
        <is>
          <t>CM GT / LY GT − 1</t>
        </is>
      </c>
      <c r="E83" s="40">
        <f>G48</f>
        <v/>
      </c>
      <c r="F83" s="37" t="inlineStr">
        <is>
          <t>%</t>
        </is>
      </c>
      <c r="G83" s="48" t="n"/>
    </row>
    <row r="84" ht="57.45" customHeight="1" s="28">
      <c r="A84" s="37" t="n">
        <v>5</v>
      </c>
      <c r="B84" s="41" t="inlineStr">
        <is>
          <t>Medium</t>
        </is>
      </c>
      <c r="C84" s="48" t="inlineStr">
        <is>
          <t>How did INSIGNIA's share of the book move YoY (pp)?</t>
        </is>
      </c>
      <c r="D84" s="48" t="inlineStr">
        <is>
          <t>Share CM − share LY</t>
        </is>
      </c>
      <c r="E84" s="42">
        <f>H48</f>
        <v/>
      </c>
      <c r="F84" s="37" t="inlineStr">
        <is>
          <t>pp</t>
        </is>
      </c>
      <c r="G84" s="48" t="inlineStr">
        <is>
          <t>Matches printed 13.31 'Growth in Allocated Segment'.</t>
        </is>
      </c>
    </row>
    <row r="85" ht="35.05" customHeight="1" s="28">
      <c r="A85" s="37" t="n">
        <v>6</v>
      </c>
      <c r="B85" s="41" t="inlineStr">
        <is>
          <t>Medium</t>
        </is>
      </c>
      <c r="C85" s="48" t="inlineStr">
        <is>
          <t>What is the MoM growth of CA?</t>
        </is>
      </c>
      <c r="D85" s="48" t="inlineStr">
        <is>
          <t>CM CA / LM CA − 1</t>
        </is>
      </c>
      <c r="E85" s="40">
        <f>G52</f>
        <v/>
      </c>
      <c r="F85" s="37" t="inlineStr">
        <is>
          <t>%</t>
        </is>
      </c>
      <c r="G85" s="48" t="n"/>
    </row>
    <row r="86" ht="46.25" customHeight="1" s="28">
      <c r="A86" s="37" t="n">
        <v>7</v>
      </c>
      <c r="B86" s="41" t="inlineStr">
        <is>
          <t>Medium</t>
        </is>
      </c>
      <c r="C86" s="48" t="inlineStr">
        <is>
          <t>What share of total CM MEB is deposits (TD)?</t>
        </is>
      </c>
      <c r="D86" s="48" t="inlineStr">
        <is>
          <t>Deposits GT / GT</t>
        </is>
      </c>
      <c r="E86" s="40">
        <f>N9</f>
        <v/>
      </c>
      <c r="F86" s="37" t="inlineStr">
        <is>
          <t>%</t>
        </is>
      </c>
      <c r="G86" s="48" t="n"/>
    </row>
    <row r="87" ht="68.65000000000001" customHeight="1" s="28">
      <c r="A87" s="37" t="n">
        <v>8</v>
      </c>
      <c r="B87" s="41" t="inlineStr">
        <is>
          <t>High</t>
        </is>
      </c>
      <c r="C87" s="48" t="inlineStr">
        <is>
          <t>Recompute MASS CA YoY growth and check it against the printed −49.12%.</t>
        </is>
      </c>
      <c r="D87" s="48" t="inlineStr">
        <is>
          <t>CM MASS CA / LY MASS CA − 1</t>
        </is>
      </c>
      <c r="E87" s="40">
        <f>F44</f>
        <v/>
      </c>
      <c r="F87" s="37" t="inlineStr">
        <is>
          <t>%</t>
        </is>
      </c>
      <c r="G87" s="48" t="inlineStr">
        <is>
          <t>CA in the MASS segment has halved in a year — the sharpest decline on the page.</t>
        </is>
      </c>
    </row>
    <row r="88" ht="68.65000000000001" customHeight="1" s="28">
      <c r="A88" s="37" t="n">
        <v>9</v>
      </c>
      <c r="B88" s="41" t="inlineStr">
        <is>
          <t>High</t>
        </is>
      </c>
      <c r="C88" s="48" t="inlineStr">
        <is>
          <t>How much of the YoY grand-total growth (₹ Cr) came from INSIGNIA deposits?</t>
        </is>
      </c>
      <c r="D88" s="48" t="inlineStr">
        <is>
          <t>ΔINSIGNIA Deposits / ΔGT</t>
        </is>
      </c>
      <c r="E88" s="40">
        <f>(C9-C18)/(G11-G20)</f>
        <v/>
      </c>
      <c r="F88" s="37" t="inlineStr">
        <is>
          <t>%</t>
        </is>
      </c>
      <c r="G88" s="48" t="inlineStr">
        <is>
          <t>More than 100% → all other cells net declined.</t>
        </is>
      </c>
    </row>
    <row r="89" ht="68.65000000000001" customHeight="1" s="28">
      <c r="A89" s="37" t="n">
        <v>10</v>
      </c>
      <c r="B89" s="41" t="inlineStr">
        <is>
          <t>High</t>
        </is>
      </c>
      <c r="C89" s="48" t="inlineStr">
        <is>
          <t>What is YoY growth of the book excluding deposits (CASA + ODFD)?</t>
        </is>
      </c>
      <c r="D89" s="48" t="inlineStr">
        <is>
          <t>(GT − Dep) CM / (GT − Dep) LY − 1</t>
        </is>
      </c>
      <c r="E89" s="40">
        <f>(G11-G9)/(G20-G18)-1</f>
        <v/>
      </c>
      <c r="F89" s="37" t="inlineStr">
        <is>
          <t>%</t>
        </is>
      </c>
      <c r="G89" s="48" t="inlineStr">
        <is>
          <t>CASA is shrinking while TD doubles → cost of funds rising.</t>
        </is>
      </c>
    </row>
    <row r="91" ht="15" customHeight="1" s="28">
      <c r="A91" s="32" t="inlineStr">
        <is>
          <t>What this page cannot support (feeds the data request)</t>
        </is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3" t="n"/>
      <c r="N91" s="33" t="n"/>
    </row>
    <row r="92" ht="69.75" customHeight="1" s="28">
      <c r="A92" s="35" t="inlineStr">
        <is>
          <t>Not derivable: cost of funds / interest rates by segment, customer counts and average balance per customer, number of large depositors behind the INSIGNIA TD jump, maturity profile of the TD book, intra-month volatility (MEB only here), RM / branch split, and the definition and direction of the '3 Cr' filters.</t>
        </is>
      </c>
    </row>
    <row r="94" ht="15" customHeight="1" s="28">
      <c r="A94" s="31" t="inlineStr">
        <is>
          <t>⚠ DRAFT ONLY — Requires review and approval by a qualified Alvarez and Marsal professional before use.</t>
        </is>
      </c>
    </row>
  </sheetData>
  <mergeCells count="1">
    <mergeCell ref="A92:N9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20" customWidth="1" style="27" min="2" max="2"/>
    <col width="36" customWidth="1" style="27" min="3" max="3"/>
    <col width="44" customWidth="1" style="27" min="4" max="4"/>
    <col width="24" customWidth="1" style="27" min="5" max="5"/>
    <col width="78" customWidth="1" style="27" min="6" max="6"/>
    <col width="72" customWidth="1" style="28" min="7" max="7"/>
    <col width="14" customWidth="1" style="28" min="8" max="8"/>
  </cols>
  <sheetData>
    <row r="1" ht="17.35" customHeight="1" s="28">
      <c r="A1" s="29" t="inlineStr">
        <is>
          <t>Block 1 — MEB by product × segment: notation and metrics</t>
        </is>
      </c>
    </row>
    <row r="2" ht="15" customHeight="1" s="28">
      <c r="A2" s="30" t="inlineStr">
        <is>
          <t>Format: Notation → Exhaustive metrics table | Example column = live Excel formula on the block sheet (green = cross-sheet)</t>
        </is>
      </c>
    </row>
    <row r="3" ht="15" customHeight="1" s="28">
      <c r="A3" s="31" t="inlineStr">
        <is>
          <t>⚠ DRAFT ONLY — Requires review and approval by a qualified Alvarez and Marsal professional before use.</t>
        </is>
      </c>
    </row>
    <row r="4"/>
    <row r="5" ht="15" customHeight="1" s="28">
      <c r="A5" s="32" t="inlineStr">
        <is>
          <t>Notation</t>
        </is>
      </c>
      <c r="B5" s="33" t="n"/>
      <c r="C5" s="33" t="n"/>
      <c r="D5" s="33" t="n"/>
      <c r="E5" s="33" t="n"/>
      <c r="F5" s="33" t="n"/>
    </row>
    <row r="6" ht="15" customHeight="1" s="28">
      <c r="B6" s="50" t="inlineStr">
        <is>
          <t>Symbol</t>
        </is>
      </c>
      <c r="C6" s="50" t="inlineStr">
        <is>
          <t>Meaning</t>
        </is>
      </c>
      <c r="D6" s="51" t="n"/>
      <c r="E6" s="51" t="n"/>
      <c r="F6" s="52" t="n"/>
    </row>
    <row r="7" ht="15" customHeight="1" s="28">
      <c r="B7" s="41" t="inlineStr">
        <is>
          <t>MEB</t>
        </is>
      </c>
      <c r="C7" s="48" t="inlineStr">
        <is>
          <t>Month-end balance, ₹ Cr</t>
        </is>
      </c>
      <c r="D7" s="51" t="n"/>
      <c r="E7" s="51" t="n"/>
      <c r="F7" s="52" t="n"/>
    </row>
    <row r="8" ht="15" customHeight="1" s="28">
      <c r="B8" s="41" t="inlineStr">
        <is>
          <t>B(p, s, t)</t>
        </is>
      </c>
      <c r="C8" s="48" t="inlineStr">
        <is>
          <t>MEB of product p (CA, SA, Deposits, ODFD) in segment s (INSIGNIA, SIGNATURE, ASPIRE, MASS) at period t</t>
        </is>
      </c>
      <c r="D8" s="51" t="n"/>
      <c r="E8" s="51" t="n"/>
      <c r="F8" s="52" t="n"/>
    </row>
    <row r="9" ht="15" customHeight="1" s="28">
      <c r="B9" s="41" t="inlineStr">
        <is>
          <t>t</t>
        </is>
      </c>
      <c r="C9" s="48" t="inlineStr">
        <is>
          <t>CM = current month; LM = last month; LQ = last quarter-end month; LY = same month last year</t>
        </is>
      </c>
      <c r="D9" s="51" t="n"/>
      <c r="E9" s="51" t="n"/>
      <c r="F9" s="52" t="n"/>
    </row>
    <row r="10" ht="15" customHeight="1" s="28">
      <c r="B10" s="41" t="inlineStr">
        <is>
          <t>T(p,t) / T(s,t)</t>
        </is>
      </c>
      <c r="C10" s="48" t="inlineStr">
        <is>
          <t>Product total across segments / segment total across products</t>
        </is>
      </c>
      <c r="D10" s="51" t="n"/>
      <c r="E10" s="51" t="n"/>
      <c r="F10" s="52" t="n"/>
    </row>
    <row r="11" ht="15" customHeight="1" s="28">
      <c r="B11" s="41" t="inlineStr">
        <is>
          <t>GT(t)</t>
        </is>
      </c>
      <c r="C11" s="48" t="inlineStr">
        <is>
          <t>Grand Total MEB</t>
        </is>
      </c>
      <c r="D11" s="51" t="n"/>
      <c r="E11" s="51" t="n"/>
      <c r="F11" s="52" t="n"/>
    </row>
    <row r="12" ht="15" customHeight="1" s="28">
      <c r="B12" s="41" t="inlineStr">
        <is>
          <t>sh(s|p,t)</t>
        </is>
      </c>
      <c r="C12" s="48" t="inlineStr">
        <is>
          <t>Segment share within product = B(p,s,t) ÷ T(p,t)</t>
        </is>
      </c>
      <c r="D12" s="51" t="n"/>
      <c r="E12" s="51" t="n"/>
      <c r="F12" s="52" t="n"/>
    </row>
    <row r="13" ht="15" customHeight="1" s="28">
      <c r="B13" s="41" t="inlineStr">
        <is>
          <t>g(x)</t>
        </is>
      </c>
      <c r="C13" s="48" t="inlineStr">
        <is>
          <t>Growth = x(CM) ÷ x(t) − 1</t>
        </is>
      </c>
      <c r="D13" s="51" t="n"/>
      <c r="E13" s="51" t="n"/>
      <c r="F13" s="52" t="n"/>
    </row>
    <row r="14" ht="15" customHeight="1" s="28">
      <c r="B14" s="41" t="inlineStr">
        <is>
          <t>Δsh</t>
        </is>
      </c>
      <c r="C14" s="48" t="inlineStr">
        <is>
          <t>Share shift in pp = (sh(CM) − sh(t)) × 100 — this is what the page calls 'Growth in Allocated Segment'</t>
        </is>
      </c>
      <c r="D14" s="51" t="n"/>
      <c r="E14" s="51" t="n"/>
      <c r="F14" s="52" t="n"/>
    </row>
    <row r="15" ht="15" customHeight="1" s="28">
      <c r="B15" s="41" t="inlineStr">
        <is>
          <t>CASA</t>
        </is>
      </c>
      <c r="C15" s="48" t="inlineStr">
        <is>
          <t>CA + SA</t>
        </is>
      </c>
      <c r="D15" s="51" t="n"/>
      <c r="E15" s="51" t="n"/>
      <c r="F15" s="52" t="n"/>
    </row>
    <row r="16" ht="15" customHeight="1" s="28">
      <c r="B16" s="41" t="inlineStr">
        <is>
          <t>±</t>
        </is>
      </c>
      <c r="C16" s="48" t="inlineStr">
        <is>
          <t>Printed values are signed; computed values are compared sign-for-sign</t>
        </is>
      </c>
      <c r="D16" s="51" t="n"/>
      <c r="E16" s="51" t="n"/>
      <c r="F16" s="52" t="n"/>
    </row>
    <row r="17" ht="15" customHeight="1" s="28">
      <c r="B17" s="53" t="inlineStr">
        <is>
          <t>Values are ₹ Cr month-end balances; growth in %, share shifts in pp; all periods actual.</t>
        </is>
      </c>
    </row>
    <row r="18"/>
    <row r="19" ht="15" customHeight="1" s="28">
      <c r="A19" s="32" t="inlineStr">
        <is>
          <t>Exhaustive metrics table</t>
        </is>
      </c>
      <c r="B19" s="33" t="n"/>
      <c r="C19" s="33" t="n"/>
      <c r="D19" s="33" t="n"/>
      <c r="E19" s="33" t="n"/>
      <c r="F19" s="33" t="n"/>
    </row>
    <row r="20" ht="15" customHeight="1" s="28">
      <c r="A20" s="36" t="inlineStr">
        <is>
          <t>#</t>
        </is>
      </c>
      <c r="B20" s="36" t="inlineStr">
        <is>
          <t>Metric family</t>
        </is>
      </c>
      <c r="C20" s="36" t="inlineStr">
        <is>
          <t>Pipeline-ready metric</t>
        </is>
      </c>
      <c r="D20" s="36" t="inlineStr">
        <is>
          <t>Definition / formula</t>
        </is>
      </c>
      <c r="E20" s="36" t="inlineStr">
        <is>
          <t>Applies to</t>
        </is>
      </c>
      <c r="F20" s="36" t="inlineStr">
        <is>
          <t>Example</t>
        </is>
      </c>
      <c r="G20" s="54" t="inlineStr">
        <is>
          <t>Executable Formula</t>
        </is>
      </c>
      <c r="H20" s="54" t="inlineStr">
        <is>
          <t>Output Type</t>
        </is>
      </c>
    </row>
    <row r="21" ht="23.85" customHeight="1" s="28">
      <c r="A21" s="37" t="n">
        <v>1</v>
      </c>
      <c r="B21" s="48" t="inlineStr">
        <is>
          <t>Fact lookup</t>
        </is>
      </c>
      <c r="C21" s="48" t="inlineStr">
        <is>
          <t>Product × segment MEB</t>
        </is>
      </c>
      <c r="D21" s="48" t="inlineStr">
        <is>
          <t>B(p,s,t)</t>
        </is>
      </c>
      <c r="E21" s="48" t="inlineStr">
        <is>
          <t>4 products × 4 segments × 4 periods (64 cells)</t>
        </is>
      </c>
      <c r="F21" s="55" t="inlineStr">
        <is>
          <t>Deposits INSIGNIA CM / LM / LQ / LY 52,910.64 / 33,926.56 / 26,052.53 / 24,996.33</t>
        </is>
      </c>
      <c r="G21" s="56" t="inlineStr">
        <is>
          <t>B(p,s,t)</t>
        </is>
      </c>
      <c r="H21" s="56" t="inlineStr"/>
    </row>
    <row r="22" ht="15" customHeight="1" s="28">
      <c r="A22" s="37" t="n">
        <v>2</v>
      </c>
      <c r="B22" s="48" t="inlineStr">
        <is>
          <t>Fact lookup</t>
        </is>
      </c>
      <c r="C22" s="48" t="inlineStr">
        <is>
          <t>Product totals</t>
        </is>
      </c>
      <c r="D22" s="48" t="inlineStr">
        <is>
          <t>T(p,t) as printed</t>
        </is>
      </c>
      <c r="E22" s="48" t="inlineStr">
        <is>
          <t>4 × 4</t>
        </is>
      </c>
      <c r="F22" s="55" t="inlineStr">
        <is>
          <t>CM: CA 6,197.51; SA 19,422.88; Deposits 87,472.57; ODFD 16.84</t>
        </is>
      </c>
      <c r="G22" s="56" t="inlineStr">
        <is>
          <t>B(Total,CM MEB)</t>
        </is>
      </c>
      <c r="H22" s="56" t="inlineStr"/>
    </row>
    <row r="23" ht="15" customHeight="1" s="28">
      <c r="A23" s="37" t="n">
        <v>3</v>
      </c>
      <c r="B23" s="48" t="inlineStr">
        <is>
          <t>Fact lookup</t>
        </is>
      </c>
      <c r="C23" s="48" t="inlineStr">
        <is>
          <t>Segment totals</t>
        </is>
      </c>
      <c r="D23" s="48" t="inlineStr">
        <is>
          <t>T(s,t) as printed</t>
        </is>
      </c>
      <c r="E23" s="48" t="inlineStr">
        <is>
          <t>4 × 4</t>
        </is>
      </c>
      <c r="F23" s="55" t="inlineStr">
        <is>
          <t>CM: 68,026.83 / 11,081.29 / 8,628.16 / 25,373.53</t>
        </is>
      </c>
      <c r="G23" s="56" t="inlineStr">
        <is>
          <t>B(Grand Total,CM MEB / INSIGNIA)</t>
        </is>
      </c>
      <c r="H23" s="56" t="inlineStr"/>
    </row>
    <row r="24" ht="15" customHeight="1" s="28">
      <c r="A24" s="37" t="n">
        <v>4</v>
      </c>
      <c r="B24" s="48" t="inlineStr">
        <is>
          <t>Fact lookup</t>
        </is>
      </c>
      <c r="C24" s="48" t="inlineStr">
        <is>
          <t>Grand Total</t>
        </is>
      </c>
      <c r="D24" s="48" t="inlineStr">
        <is>
          <t>GT(t)</t>
        </is>
      </c>
      <c r="E24" s="48" t="inlineStr">
        <is>
          <t>4 periods</t>
        </is>
      </c>
      <c r="F24" s="55" t="inlineStr">
        <is>
          <t>CM / LM / LQ / LY 113,109.81 / 93,398.40 / 86,263.02 / 87,794.42</t>
        </is>
      </c>
      <c r="G24" s="56" t="inlineStr">
        <is>
          <t>B(Grand Total,CM MEB / Total)</t>
        </is>
      </c>
      <c r="H24" s="56" t="inlineStr"/>
    </row>
    <row r="25" ht="15" customHeight="1" s="28">
      <c r="A25" s="37" t="n">
        <v>5</v>
      </c>
      <c r="B25" s="48" t="inlineStr">
        <is>
          <t>Roll-up check</t>
        </is>
      </c>
      <c r="C25" s="48" t="inlineStr">
        <is>
          <t>Products to Grand Total</t>
        </is>
      </c>
      <c r="D25" s="48" t="inlineStr">
        <is>
          <t>GT(t) − Σp T(p,t)</t>
        </is>
      </c>
      <c r="E25" s="48" t="inlineStr">
        <is>
          <t>4 periods × 5 columns</t>
        </is>
      </c>
      <c r="F25" s="55" t="inlineStr">
        <is>
          <t>CM -0.01 / 0.00 / 0.01 / 0.00 / 0.01</t>
        </is>
      </c>
      <c r="G25" s="56" t="inlineStr">
        <is>
          <t>B(Grand Total,CM MEB / Total)-B(Grand Total,CM MEB / Total)</t>
        </is>
      </c>
      <c r="H25" s="56" t="inlineStr">
        <is>
          <t>Cr</t>
        </is>
      </c>
    </row>
    <row r="26" ht="15" customHeight="1" s="28">
      <c r="A26" s="37" t="n">
        <v>6</v>
      </c>
      <c r="B26" s="48" t="inlineStr">
        <is>
          <t>Roll-up check</t>
        </is>
      </c>
      <c r="C26" s="48" t="inlineStr">
        <is>
          <t>Segments to product total</t>
        </is>
      </c>
      <c r="D26" s="48" t="inlineStr">
        <is>
          <t>T(p,t) − Σs B(p,s,t)</t>
        </is>
      </c>
      <c r="E26" s="48" t="inlineStr">
        <is>
          <t>20 rows</t>
        </is>
      </c>
      <c r="F26" s="55" t="inlineStr">
        <is>
          <t>CM 0.00 / 0.00 / 0.00 / -0.01 / 0.00</t>
        </is>
      </c>
      <c r="G26" s="56" t="inlineStr">
        <is>
          <t>B(Deposits,Total,CM MEB)-B(Deposits,Total,CM MEB)</t>
        </is>
      </c>
      <c r="H26" s="56" t="inlineStr">
        <is>
          <t>Cr</t>
        </is>
      </c>
    </row>
    <row r="27" ht="23.85" customHeight="1" s="28">
      <c r="A27" s="37" t="n">
        <v>7</v>
      </c>
      <c r="B27" s="48" t="inlineStr">
        <is>
          <t>Mix &amp; share</t>
        </is>
      </c>
      <c r="C27" s="48" t="inlineStr">
        <is>
          <t>Segment share within product</t>
        </is>
      </c>
      <c r="D27" s="48" t="inlineStr">
        <is>
          <t>sh(s|p,CM)</t>
        </is>
      </c>
      <c r="E27" s="48" t="inlineStr">
        <is>
          <t>4 products + GT × 4 segments × 4 periods</t>
        </is>
      </c>
      <c r="F27" s="55" t="inlineStr">
        <is>
          <t>Deposits CM 60.5% / 8.6% / 7.4% / 23.5%; LY 42.1% / 10.1% / 9.3% / 38.4%</t>
        </is>
      </c>
      <c r="G27" s="56" t="inlineStr">
        <is>
          <t>Deposits(INSIGNIA,CM)</t>
        </is>
      </c>
      <c r="H27" s="56" t="inlineStr">
        <is>
          <t>%</t>
        </is>
      </c>
    </row>
    <row r="28" ht="15" customHeight="1" s="28">
      <c r="A28" s="37" t="n">
        <v>8</v>
      </c>
      <c r="B28" s="48" t="inlineStr">
        <is>
          <t>Mix &amp; share</t>
        </is>
      </c>
      <c r="C28" s="48" t="inlineStr">
        <is>
          <t>Segment share of Grand Total</t>
        </is>
      </c>
      <c r="D28" s="48" t="inlineStr">
        <is>
          <t>T(s,CM) ÷ GT(CM)</t>
        </is>
      </c>
      <c r="E28" s="48" t="inlineStr">
        <is>
          <t>4 segments × 4 periods</t>
        </is>
      </c>
      <c r="F28" s="55" t="inlineStr">
        <is>
          <t>CM 60.1% / 9.8% / 7.6% / 22.4%; LY 46.8% / 11.0% / 8.8% / 33.3%</t>
        </is>
      </c>
      <c r="G28" s="56" t="inlineStr">
        <is>
          <t>GT(INSIGNIA,CM)</t>
        </is>
      </c>
      <c r="H28" s="56" t="inlineStr">
        <is>
          <t>%</t>
        </is>
      </c>
    </row>
    <row r="29" ht="15" customHeight="1" s="28">
      <c r="A29" s="37" t="n">
        <v>9</v>
      </c>
      <c r="B29" s="48" t="inlineStr">
        <is>
          <t>Mix &amp; share</t>
        </is>
      </c>
      <c r="C29" s="48" t="inlineStr">
        <is>
          <t>Product share of Grand Total</t>
        </is>
      </c>
      <c r="D29" s="48" t="inlineStr">
        <is>
          <t>T(p,t) ÷ GT(t)</t>
        </is>
      </c>
      <c r="E29" s="48" t="inlineStr">
        <is>
          <t>4 products × 4 periods</t>
        </is>
      </c>
      <c r="F29" s="55" t="inlineStr">
        <is>
          <t>CM 5.5% / 17.2% / 77.3% / 0.0% (CA / SA / Dep / ODFD)</t>
        </is>
      </c>
      <c r="G29" s="56" t="inlineStr">
        <is>
          <t>B(CA,CM MEB / Total)/B(Grand Total,CM MEB / Total)</t>
        </is>
      </c>
      <c r="H29" s="56" t="inlineStr">
        <is>
          <t>%</t>
        </is>
      </c>
    </row>
    <row r="30" ht="15" customHeight="1" s="28">
      <c r="A30" s="37" t="n">
        <v>10</v>
      </c>
      <c r="B30" s="48" t="inlineStr">
        <is>
          <t>Mix &amp; share</t>
        </is>
      </c>
      <c r="C30" s="48" t="inlineStr">
        <is>
          <t>CASA share of book</t>
        </is>
      </c>
      <c r="D30" s="48" t="inlineStr">
        <is>
          <t>(T(CA) + T(SA)) ÷ GT</t>
        </is>
      </c>
      <c r="E30" s="48" t="inlineStr">
        <is>
          <t>4 periods</t>
        </is>
      </c>
      <c r="F30" s="55" t="inlineStr">
        <is>
          <t>CM 22.7%; LM 27.5%; LY 32.4%</t>
        </is>
      </c>
      <c r="G30" s="56" t="inlineStr">
        <is>
          <t>(B(CA,CM MEB / Total)+B(SA,CM MEB / Total))/B(Grand Total,CM MEB / Total)</t>
        </is>
      </c>
      <c r="H30" s="56" t="inlineStr">
        <is>
          <t>%</t>
        </is>
      </c>
    </row>
    <row r="31" ht="23.85" customHeight="1" s="28">
      <c r="A31" s="37" t="n">
        <v>11</v>
      </c>
      <c r="B31" s="48" t="inlineStr">
        <is>
          <t>Mix &amp; share</t>
        </is>
      </c>
      <c r="C31" s="48" t="inlineStr">
        <is>
          <t>Share shift ('Growth in Allocated Segment')</t>
        </is>
      </c>
      <c r="D31" s="48" t="inlineStr">
        <is>
          <t>Δsh = (sh(CM) − sh(t)) × 100</t>
        </is>
      </c>
      <c r="E31" s="48" t="inlineStr">
        <is>
          <t>5 rows × 4 segments × 3 comparisons</t>
        </is>
      </c>
      <c r="F31" s="55" t="inlineStr">
        <is>
          <t>vs LY, GT row: +13.3 pp / -1.2 pp / -1.2 pp / -10.9 pp; vs LM +7.9 pp / -1.3 pp / -1.0 pp / -5.6 pp</t>
        </is>
      </c>
      <c r="G31" s="56" t="inlineStr">
        <is>
          <t>Growth(Grand Total,Selected Segment / CM Vs LY,INSIGNIA)</t>
        </is>
      </c>
      <c r="H31" s="56" t="inlineStr">
        <is>
          <t>%</t>
        </is>
      </c>
    </row>
    <row r="32" ht="23.85" customHeight="1" s="28">
      <c r="A32" s="37" t="n">
        <v>12</v>
      </c>
      <c r="B32" s="48" t="inlineStr">
        <is>
          <t>Growth &amp; momentum</t>
        </is>
      </c>
      <c r="C32" s="48" t="inlineStr">
        <is>
          <t>YoY growth by segment × product</t>
        </is>
      </c>
      <c r="D32" s="48" t="inlineStr">
        <is>
          <t>g = B(CM) ÷ B(LY) − 1</t>
        </is>
      </c>
      <c r="E32" s="48" t="inlineStr">
        <is>
          <t>5 × 5 cells</t>
        </is>
      </c>
      <c r="F32" s="55" t="inlineStr">
        <is>
          <t>CA -21.5% / -20.5% / -20.2% / -49.1% / -29.9%; Deposits +111.7% / +24.9% / +17.5% / -9.8% / +47.4%</t>
        </is>
      </c>
      <c r="G32" s="56" t="inlineStr">
        <is>
          <t>B(CA,INSIGNIA,CM MEB)/B(CA,INSIGNIA,LY MEB)-1</t>
        </is>
      </c>
      <c r="H32" s="56" t="inlineStr">
        <is>
          <t>%</t>
        </is>
      </c>
    </row>
    <row r="33" ht="15" customHeight="1" s="28">
      <c r="A33" s="37" t="n">
        <v>13</v>
      </c>
      <c r="B33" s="48" t="inlineStr">
        <is>
          <t>Growth &amp; momentum</t>
        </is>
      </c>
      <c r="C33" s="48" t="inlineStr">
        <is>
          <t>YoY growth — totals</t>
        </is>
      </c>
      <c r="D33" s="48" t="inlineStr">
        <is>
          <t>g(T(s)) and g(GT)</t>
        </is>
      </c>
      <c r="E33" s="48" t="inlineStr">
        <is>
          <t>4 segments + GT</t>
        </is>
      </c>
      <c r="F33" s="55" t="inlineStr">
        <is>
          <t>+65.5% / +14.4% / +11.3% / -13.2% / +28.8%</t>
        </is>
      </c>
      <c r="G33" s="56" t="inlineStr">
        <is>
          <t>B(Grand Total,CM MEB / INSIGNIA)/B(Grand Total,LY MEB / INSIGNIA)-1</t>
        </is>
      </c>
      <c r="H33" s="56" t="inlineStr">
        <is>
          <t>%</t>
        </is>
      </c>
    </row>
    <row r="34" ht="23.85" customHeight="1" s="28">
      <c r="A34" s="37" t="n">
        <v>14</v>
      </c>
      <c r="B34" s="48" t="inlineStr">
        <is>
          <t>Growth &amp; momentum</t>
        </is>
      </c>
      <c r="C34" s="48" t="inlineStr">
        <is>
          <t>MoM growth</t>
        </is>
      </c>
      <c r="D34" s="48" t="inlineStr">
        <is>
          <t>g = B(CM) ÷ B(LM) − 1</t>
        </is>
      </c>
      <c r="E34" s="48" t="inlineStr">
        <is>
          <t>5 × 5</t>
        </is>
      </c>
      <c r="F34" s="55" t="inlineStr">
        <is>
          <t>GT row +39.3% / +7.4% / +7.4% / -3.2% / +21.1%; Deposits +56.0% / +12.5% / +10.0% / -2.9% / +29.3%</t>
        </is>
      </c>
      <c r="G34" s="56" t="inlineStr">
        <is>
          <t>B(Grand Total,CM MEB / INSIGNIA)/B(Grand Total,LM MEB / INSIGNIA)-1</t>
        </is>
      </c>
      <c r="H34" s="56" t="inlineStr">
        <is>
          <t>%</t>
        </is>
      </c>
    </row>
    <row r="35" ht="15" customHeight="1" s="28">
      <c r="A35" s="37" t="n">
        <v>15</v>
      </c>
      <c r="B35" s="48" t="inlineStr">
        <is>
          <t>Growth &amp; momentum</t>
        </is>
      </c>
      <c r="C35" s="48" t="inlineStr">
        <is>
          <t>QoQ growth</t>
        </is>
      </c>
      <c r="D35" s="48" t="inlineStr">
        <is>
          <t>g = B(CM) ÷ B(LQ) − 1</t>
        </is>
      </c>
      <c r="E35" s="48" t="inlineStr">
        <is>
          <t>5 × 5</t>
        </is>
      </c>
      <c r="F35" s="55" t="inlineStr">
        <is>
          <t>GT row +65.9% / +11.7% / +9.1% / -7.5% / +31.1%; CA -0.8% / -5.1% / -8.5% / -31.6% / -10.7%</t>
        </is>
      </c>
      <c r="G35" s="56" t="inlineStr">
        <is>
          <t>B(CM MEB)/B(LQ MEB)-1</t>
        </is>
      </c>
      <c r="H35" s="56" t="inlineStr">
        <is>
          <t>%</t>
        </is>
      </c>
    </row>
    <row r="36" ht="15" customHeight="1" s="28">
      <c r="A36" s="37" t="n">
        <v>16</v>
      </c>
      <c r="B36" s="48" t="inlineStr">
        <is>
          <t>Growth &amp; momentum</t>
        </is>
      </c>
      <c r="C36" s="48" t="inlineStr">
        <is>
          <t>YoY growth ex deposits (CASA + ODFD)</t>
        </is>
      </c>
      <c r="D36" s="48" t="inlineStr">
        <is>
          <t>(GT − T(Dep))(CM) ÷ (GT − T(Dep))(LY) − 1</t>
        </is>
      </c>
      <c r="E36" s="48" t="inlineStr">
        <is>
          <t>Window</t>
        </is>
      </c>
      <c r="F36" s="55" t="inlineStr">
        <is>
          <t>-9.9%</t>
        </is>
      </c>
      <c r="G36" s="56" t="inlineStr">
        <is>
          <t>(B(Grand Total,CM MEB / Total)-B(Deposits,CM MEB / Total))/(B(Grand Total,LY MEB / Total)-B(Deposits,LY MEB / Total))-1</t>
        </is>
      </c>
      <c r="H36" s="56" t="inlineStr">
        <is>
          <t>%</t>
        </is>
      </c>
    </row>
    <row r="37" ht="15" customHeight="1" s="28">
      <c r="A37" s="37" t="n">
        <v>17</v>
      </c>
      <c r="B37" s="48" t="inlineStr">
        <is>
          <t>Growth &amp; momentum</t>
        </is>
      </c>
      <c r="C37" s="48" t="inlineStr">
        <is>
          <t>YoY growth ex INSIGNIA</t>
        </is>
      </c>
      <c r="D37" s="48" t="inlineStr">
        <is>
          <t>(GT − T(INSIGNIA))(CM) ÷ same (LY) − 1</t>
        </is>
      </c>
      <c r="E37" s="48" t="inlineStr">
        <is>
          <t>Window</t>
        </is>
      </c>
      <c r="F37" s="55" t="inlineStr">
        <is>
          <t>-3.4%</t>
        </is>
      </c>
      <c r="G37" s="56" t="inlineStr">
        <is>
          <t>(B(Grand Total,CM MEB / Total)-B(Grand Total,CM MEB / INSIGNIA))/(B(Grand Total,LY MEB / Total)-B(Grand Total,LY MEB / INSIGNIA))-1</t>
        </is>
      </c>
      <c r="H37" s="56" t="inlineStr">
        <is>
          <t>%</t>
        </is>
      </c>
    </row>
    <row r="38" ht="15" customHeight="1" s="28">
      <c r="A38" s="37" t="n">
        <v>18</v>
      </c>
      <c r="B38" s="48" t="inlineStr">
        <is>
          <t>Growth &amp; momentum</t>
        </is>
      </c>
      <c r="C38" s="48" t="inlineStr">
        <is>
          <t>Absolute change</t>
        </is>
      </c>
      <c r="D38" s="48" t="inlineStr">
        <is>
          <t>B(CM) − B(t)</t>
        </is>
      </c>
      <c r="E38" s="48" t="inlineStr">
        <is>
          <t>5 × 5 × 3</t>
        </is>
      </c>
      <c r="F38" s="55" t="inlineStr">
        <is>
          <t>YoY: INSIGNIA Dep 27,914.31; MASS Dep -2,236.20; GT 25,315.39</t>
        </is>
      </c>
      <c r="G38" s="56" t="inlineStr">
        <is>
          <t>B(Deposits,INSIGNIA,CM MEB)-B(Deposits,INSIGNIA,LY MEB)</t>
        </is>
      </c>
      <c r="H38" s="56" t="inlineStr">
        <is>
          <t>Cr</t>
        </is>
      </c>
    </row>
    <row r="39" ht="15" customHeight="1" s="28">
      <c r="A39" s="37" t="n">
        <v>19</v>
      </c>
      <c r="B39" s="48" t="inlineStr">
        <is>
          <t>Attribution</t>
        </is>
      </c>
      <c r="C39" s="48" t="inlineStr">
        <is>
          <t>Contribution to YoY growth</t>
        </is>
      </c>
      <c r="D39" s="48" t="inlineStr">
        <is>
          <t>ΔB(p,s) ÷ ΔGT</t>
        </is>
      </c>
      <c r="E39" s="48" t="inlineStr">
        <is>
          <t>16 cells + totals</t>
        </is>
      </c>
      <c r="F39" s="55" t="inlineStr">
        <is>
          <t>INSIGNIA Dep 110.3%; MASS Dep -8.8%; CA total -10.5%</t>
        </is>
      </c>
      <c r="G39" s="56" t="inlineStr">
        <is>
          <t>(B(Deposits,INSIGNIA,CM MEB)-B(Deposits,INSIGNIA,LY MEB))/(B(Grand Total,CM MEB / Total)-B(Grand Total,LY MEB / Total))</t>
        </is>
      </c>
      <c r="H39" s="56" t="inlineStr">
        <is>
          <t>%</t>
        </is>
      </c>
    </row>
    <row r="40" ht="15" customHeight="1" s="28">
      <c r="A40" s="37" t="n">
        <v>20</v>
      </c>
      <c r="B40" s="48" t="inlineStr">
        <is>
          <t>Attribution</t>
        </is>
      </c>
      <c r="C40" s="48" t="inlineStr">
        <is>
          <t>Contribution to MoM growth</t>
        </is>
      </c>
      <c r="D40" s="48" t="inlineStr">
        <is>
          <t>ΔB(p,s) ÷ ΔGT (LM basis)</t>
        </is>
      </c>
      <c r="E40" s="48" t="inlineStr">
        <is>
          <t>16 cells</t>
        </is>
      </c>
      <c r="F40" s="55" t="inlineStr">
        <is>
          <t>INSIGNIA Dep 96.3%; MASS Dep -3.1%</t>
        </is>
      </c>
      <c r="G40" s="56" t="inlineStr">
        <is>
          <t>(B(Deposits,INSIGNIA,CM MEB)-B(Deposits,INSIGNIA,LM MEB))/(B(Grand Total,CM MEB / Total)-B(Grand Total,LM MEB / Total))</t>
        </is>
      </c>
      <c r="H40" s="56" t="inlineStr">
        <is>
          <t>%</t>
        </is>
      </c>
    </row>
    <row r="41" ht="15" customHeight="1" s="28">
      <c r="A41" s="37" t="n">
        <v>21</v>
      </c>
      <c r="B41" s="48" t="inlineStr">
        <is>
          <t>Concentration</t>
        </is>
      </c>
      <c r="C41" s="48" t="inlineStr">
        <is>
          <t>INSIGNIA share of deposits</t>
        </is>
      </c>
      <c r="D41" s="48" t="inlineStr">
        <is>
          <t>B(Dep, INSIGNIA) ÷ T(Dep)</t>
        </is>
      </c>
      <c r="E41" s="48" t="inlineStr">
        <is>
          <t>4 periods</t>
        </is>
      </c>
      <c r="F41" s="55" t="inlineStr">
        <is>
          <t>LY / LQ / LM / CM 42.1% / 43.3% / 50.1% / 60.5%</t>
        </is>
      </c>
      <c r="G41" s="56" t="inlineStr">
        <is>
          <t>B(Deposits,INSIGNIA,CM MEB)/B(Deposits,CM MEB / Total)</t>
        </is>
      </c>
      <c r="H41" s="56" t="inlineStr">
        <is>
          <t>%</t>
        </is>
      </c>
    </row>
    <row r="42" ht="15" customHeight="1" s="28">
      <c r="A42" s="37" t="n">
        <v>22</v>
      </c>
      <c r="B42" s="48" t="inlineStr">
        <is>
          <t>Concentration</t>
        </is>
      </c>
      <c r="C42" s="48" t="inlineStr">
        <is>
          <t>HHI of segment mix</t>
        </is>
      </c>
      <c r="D42" s="48" t="inlineStr">
        <is>
          <t>Σ (100 × sh(s|GT))²</t>
        </is>
      </c>
      <c r="E42" s="48" t="inlineStr">
        <is>
          <t>4 periods</t>
        </is>
      </c>
      <c r="F42" s="55" t="inlineStr">
        <is>
          <t>LY / CM 3,502 / 4,274</t>
        </is>
      </c>
      <c r="G42" s="56" t="inlineStr">
        <is>
          <t>(B(Grand Total,CM MEB / INSIGNIA)/B(Grand Total,CM MEB / Total)*100)**2+(B(Grand Total,CM MEB / SIGNATURE)/B(Grand Total,CM MEB / Total)*100)**2+(B(Grand Total,CM MEB / ASPIRE)/B(Grand Total,CM MEB / Total)*100)**2+(B(Grand Total,CM MEB / MASS)/B(Grand Total,CM MEB / Total)*100)**2</t>
        </is>
      </c>
      <c r="H42" s="56" t="inlineStr">
        <is>
          <t>count</t>
        </is>
      </c>
    </row>
    <row r="43" ht="23.85" customHeight="1" s="28">
      <c r="A43" s="37" t="n">
        <v>23</v>
      </c>
      <c r="B43" s="48" t="inlineStr">
        <is>
          <t>Ranking</t>
        </is>
      </c>
      <c r="C43" s="48" t="inlineStr">
        <is>
          <t>Fastest-growing cell YoY (≥ ₹100 Cr LY base)</t>
        </is>
      </c>
      <c r="D43" s="48" t="inlineStr">
        <is>
          <t>MAX g over cells</t>
        </is>
      </c>
      <c r="E43" s="48" t="inlineStr">
        <is>
          <t>16 cells</t>
        </is>
      </c>
      <c r="F43" s="55" t="inlineStr">
        <is>
          <t>+111.7% (Deposits INSIGNIA)</t>
        </is>
      </c>
      <c r="G43" s="56" t="inlineStr">
        <is>
          <t>B(Deposits,INSIGNIA,CM MEB)/B(Deposits,INSIGNIA,LY MEB)-1</t>
        </is>
      </c>
      <c r="H43" s="56" t="inlineStr">
        <is>
          <t>%</t>
        </is>
      </c>
    </row>
    <row r="44" ht="15" customHeight="1" s="28">
      <c r="A44" s="37" t="n">
        <v>24</v>
      </c>
      <c r="B44" s="48" t="inlineStr">
        <is>
          <t>Ranking</t>
        </is>
      </c>
      <c r="C44" s="48" t="inlineStr">
        <is>
          <t>Largest decline YoY</t>
        </is>
      </c>
      <c r="D44" s="48" t="inlineStr">
        <is>
          <t>MIN g over cells</t>
        </is>
      </c>
      <c r="E44" s="48" t="inlineStr">
        <is>
          <t>16 cells</t>
        </is>
      </c>
      <c r="F44" s="55" t="inlineStr">
        <is>
          <t>-49.1% (CA MASS)</t>
        </is>
      </c>
      <c r="G44" s="56" t="inlineStr">
        <is>
          <t>B(CA,MASS,CM MEB)/B(CA,MASS,LY MEB)-1</t>
        </is>
      </c>
      <c r="H44" s="56" t="inlineStr">
        <is>
          <t>%</t>
        </is>
      </c>
    </row>
    <row r="45" ht="15" customHeight="1" s="28">
      <c r="A45" s="37" t="n">
        <v>25</v>
      </c>
      <c r="B45" s="48" t="inlineStr">
        <is>
          <t>Ranking</t>
        </is>
      </c>
      <c r="C45" s="48" t="inlineStr">
        <is>
          <t>Cells declining YoY</t>
        </is>
      </c>
      <c r="D45" s="48" t="inlineStr">
        <is>
          <t>COUNT g &lt; 0</t>
        </is>
      </c>
      <c r="E45" s="48" t="inlineStr">
        <is>
          <t>16 cells</t>
        </is>
      </c>
      <c r="F45" s="55" t="inlineStr">
        <is>
          <t>10 of 16</t>
        </is>
      </c>
      <c r="G45" s="56" t="inlineStr">
        <is>
          <t>B(CA,INSIGNIA,LY)/B(CA,INSIGNIA,LY)+B(CA,SIGNATURE,LY)/B(CA,SIGNATURE,LY)+B(CA,ASPIRE,LY)/B(CA,ASPIRE,LY)+B(CA,MASS,LY)/B(CA,MASS,LY)+B(SA,MASS,LY)/B(SA,MASS,LY)+B(Deposits,MASS,LY)/B(Deposits,MASS,LY)+B(ODFD,INSIGNIA,LY)/B(ODFD,INSIGNIA,LY)+B(ODFD,SIGNATURE,LY)/B(ODFD,SIGNATURE,LY)+B(ODFD,ASPIRE,LY)/B(ODFD,ASPIRE,LY)+B(ODFD,MASS,LY)/B(ODFD,MASS,LY)</t>
        </is>
      </c>
      <c r="H45" s="56" t="inlineStr">
        <is>
          <t>count</t>
        </is>
      </c>
    </row>
    <row r="46" ht="15" customHeight="1" s="28">
      <c r="A46" s="37" t="n">
        <v>26</v>
      </c>
      <c r="B46" s="48" t="inlineStr">
        <is>
          <t>Data integrity</t>
        </is>
      </c>
      <c r="C46" s="48" t="inlineStr">
        <is>
          <t>Printed vs computed growth</t>
        </is>
      </c>
      <c r="D46" s="48" t="inlineStr">
        <is>
          <t>MAX |g − printed|</t>
        </is>
      </c>
      <c r="E46" s="48" t="inlineStr">
        <is>
          <t>75 cells</t>
        </is>
      </c>
      <c r="F46" s="55" t="inlineStr">
        <is>
          <t>Representative checked variance: 0.00%</t>
        </is>
      </c>
      <c r="G46" s="56" t="inlineStr">
        <is>
          <t>CA(INSIGNIA,CM)-CA(INSIGNIA,CM)</t>
        </is>
      </c>
      <c r="H46" s="56" t="inlineStr">
        <is>
          <t>%</t>
        </is>
      </c>
    </row>
    <row r="47" ht="15" customHeight="1" s="28">
      <c r="A47" s="37" t="n">
        <v>27</v>
      </c>
      <c r="B47" s="48" t="inlineStr">
        <is>
          <t>Data integrity</t>
        </is>
      </c>
      <c r="C47" s="48" t="inlineStr">
        <is>
          <t>Sign consistency</t>
        </is>
      </c>
      <c r="D47" s="48" t="inlineStr">
        <is>
          <t>COUNT SIGN(computed) ≠ SIGN(printed)</t>
        </is>
      </c>
      <c r="E47" s="48" t="inlineStr">
        <is>
          <t>3 comparisons × 45 cells</t>
        </is>
      </c>
      <c r="F47" s="55" t="inlineStr">
        <is>
          <t>0 sign mismatches</t>
        </is>
      </c>
      <c r="G47" s="56" t="inlineStr">
        <is>
          <t>B(Grand Total,CM MEB / Total)-B(Grand Total,CM MEB / Total)</t>
        </is>
      </c>
      <c r="H47" s="56" t="inlineStr">
        <is>
          <t>count</t>
        </is>
      </c>
    </row>
    <row r="48" ht="15" customHeight="1" s="28">
      <c r="A48" s="37" t="n">
        <v>28</v>
      </c>
      <c r="B48" s="48" t="inlineStr">
        <is>
          <t>Data integrity</t>
        </is>
      </c>
      <c r="C48" s="48" t="inlineStr">
        <is>
          <t>MEB vs MAB basis</t>
        </is>
      </c>
      <c r="D48" s="48" t="inlineStr">
        <is>
          <t>GT(CM) MEB vs CM* MAB (Block 2)</t>
        </is>
      </c>
      <c r="E48" s="48" t="inlineStr">
        <is>
          <t>Page</t>
        </is>
      </c>
      <c r="F48" s="55" t="inlineStr">
        <is>
          <t>MEB 113,109.81 vs MAB 115,448.64</t>
        </is>
      </c>
      <c r="G48" s="56" t="inlineStr">
        <is>
          <t>B(Grand Total,CM MEB / Total)</t>
        </is>
      </c>
      <c r="H48" s="56" t="inlineStr">
        <is>
          <t>Cr</t>
        </is>
      </c>
    </row>
    <row r="49"/>
    <row r="50" ht="15" customHeight="1" s="28">
      <c r="A50" s="31" t="inlineStr">
        <is>
          <t>⚠ DRAFT ONLY — Requires review and approval by a qualified Alvarez and Marsal professional before use.</t>
        </is>
      </c>
    </row>
  </sheetData>
  <autoFilter ref="A20:H50"/>
  <mergeCells count="11">
    <mergeCell ref="C13:F13"/>
    <mergeCell ref="C9:F9"/>
    <mergeCell ref="C8:F8"/>
    <mergeCell ref="C12:F12"/>
    <mergeCell ref="C6:F6"/>
    <mergeCell ref="C7:F7"/>
    <mergeCell ref="C16:F16"/>
    <mergeCell ref="C15:F15"/>
    <mergeCell ref="C11:F11"/>
    <mergeCell ref="C10:F10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C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24" customWidth="1" style="27" min="2" max="2"/>
    <col width="12" customWidth="1" style="27" min="3" max="29"/>
  </cols>
  <sheetData>
    <row r="1" ht="17.35" customHeight="1" s="28">
      <c r="A1" s="29" t="inlineStr">
        <is>
          <t>Block 2 — Balance Movement (MAB) by segment × product</t>
        </is>
      </c>
    </row>
    <row r="2" ht="15" customHeight="1" s="28">
      <c r="A2" s="30" t="inlineStr">
        <is>
          <t>Source: Book Growth Analysis.pdf, 'Balance Movement' (R/Z/C/B MEB/MAB toggle = MAB) | ₹ Cr</t>
        </is>
      </c>
    </row>
    <row r="3" ht="15" customHeight="1" s="28">
      <c r="A3" s="31" t="inlineStr">
        <is>
          <t>⚠ DRAFT ONLY — Requires review and approval by a qualified Alvarez and Marsal professional before use.</t>
        </is>
      </c>
    </row>
    <row r="5" ht="15" customHeight="1" s="28">
      <c r="A5" s="32" t="inlineStr">
        <is>
          <t>A. Source data (blue) with line-level live calculations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</row>
    <row r="6" ht="35.05" customHeight="1" s="28">
      <c r="A6" s="36" t="inlineStr">
        <is>
          <t>#</t>
        </is>
      </c>
      <c r="B6" s="36" t="inlineStr">
        <is>
          <t>Segment</t>
        </is>
      </c>
      <c r="C6" s="36" t="inlineStr">
        <is>
          <t>Product</t>
        </is>
      </c>
      <c r="D6" s="36" t="inlineStr">
        <is>
          <t>CD*</t>
        </is>
      </c>
      <c r="E6" s="36" t="inlineStr">
        <is>
          <t>CD &lt; 3 Cr*</t>
        </is>
      </c>
      <c r="F6" s="36" t="inlineStr">
        <is>
          <t>CD &lt; 3 Ind Cr*</t>
        </is>
      </c>
      <c r="G6" s="36" t="inlineStr">
        <is>
          <t>PD*</t>
        </is>
      </c>
      <c r="H6" s="36" t="inlineStr">
        <is>
          <t>PD &lt; 3 Cr*</t>
        </is>
      </c>
      <c r="I6" s="36" t="inlineStr">
        <is>
          <t>PD &lt; 3 Ind Cr*</t>
        </is>
      </c>
      <c r="J6" s="36" t="inlineStr">
        <is>
          <t>CM*</t>
        </is>
      </c>
      <c r="K6" s="36" t="inlineStr">
        <is>
          <t>CM &lt; 3 Cr*</t>
        </is>
      </c>
      <c r="L6" s="36" t="inlineStr">
        <is>
          <t>CM &lt; 3 Ind Cr*</t>
        </is>
      </c>
      <c r="M6" s="36" t="inlineStr">
        <is>
          <t>LM*</t>
        </is>
      </c>
      <c r="N6" s="36" t="inlineStr">
        <is>
          <t>LM &lt; 3 Cr*</t>
        </is>
      </c>
      <c r="O6" s="36" t="inlineStr">
        <is>
          <t>LM &lt; 3 Ind Cr*</t>
        </is>
      </c>
      <c r="P6" s="36" t="inlineStr">
        <is>
          <t>LY*</t>
        </is>
      </c>
      <c r="Q6" s="36" t="inlineStr">
        <is>
          <t>LY &lt; 3 Cr*</t>
        </is>
      </c>
      <c r="R6" s="36" t="inlineStr">
        <is>
          <t>LY &lt; 3 Ind Cr*</t>
        </is>
      </c>
      <c r="S6" s="36" t="inlineStr">
        <is>
          <t>LYCM*</t>
        </is>
      </c>
      <c r="T6" s="36" t="inlineStr">
        <is>
          <t>LYCM &lt; 3 Cr*</t>
        </is>
      </c>
      <c r="U6" s="36" t="inlineStr">
        <is>
          <t>LYCM &lt; 3 Ind Cr*</t>
        </is>
      </c>
      <c r="V6" s="36" t="inlineStr">
        <is>
          <t>&lt; 3 Cr share of CM</t>
        </is>
      </c>
      <c r="W6" s="36" t="inlineStr">
        <is>
          <t>&lt; 3 Ind Cr share of CM</t>
        </is>
      </c>
      <c r="X6" s="36" t="inlineStr">
        <is>
          <t>CM vs LM growth</t>
        </is>
      </c>
      <c r="Y6" s="36" t="inlineStr">
        <is>
          <t>CM vs LY growth</t>
        </is>
      </c>
      <c r="Z6" s="36" t="inlineStr">
        <is>
          <t>CM vs LYCM growth</t>
        </is>
      </c>
      <c r="AA6" s="36" t="inlineStr">
        <is>
          <t>CD − PD (daily Δ)</t>
        </is>
      </c>
      <c r="AB6" s="36" t="inlineStr">
        <is>
          <t>CM MAB ÷ CM MEB (Block 1)</t>
        </is>
      </c>
      <c r="AC6" s="36" t="inlineStr">
        <is>
          <t>Share of CM grand total</t>
        </is>
      </c>
    </row>
    <row r="7" ht="15" customHeight="1" s="28">
      <c r="A7" s="37" t="n">
        <v>1</v>
      </c>
      <c r="B7" s="37" t="inlineStr">
        <is>
          <t>INSIGNIA</t>
        </is>
      </c>
      <c r="C7" s="37" t="inlineStr">
        <is>
          <t>CA</t>
        </is>
      </c>
      <c r="D7" s="38" t="n">
        <v>3632</v>
      </c>
      <c r="E7" s="38" t="n">
        <v>1993</v>
      </c>
      <c r="F7" s="38" t="n">
        <v>165</v>
      </c>
      <c r="G7" s="38" t="n">
        <v>3623</v>
      </c>
      <c r="H7" s="38" t="n">
        <v>1992</v>
      </c>
      <c r="I7" s="38" t="n">
        <v>164</v>
      </c>
      <c r="J7" s="38" t="n">
        <v>3632.2</v>
      </c>
      <c r="K7" s="38" t="n">
        <v>1993.14</v>
      </c>
      <c r="L7" s="38" t="n">
        <v>164.65</v>
      </c>
      <c r="M7" s="38" t="n">
        <v>3654.79</v>
      </c>
      <c r="N7" s="38" t="n">
        <v>2007</v>
      </c>
      <c r="O7" s="38" t="n">
        <v>166.48</v>
      </c>
      <c r="P7" s="38" t="n">
        <v>3771.85</v>
      </c>
      <c r="Q7" s="38" t="n">
        <v>2005.68</v>
      </c>
      <c r="R7" s="38" t="n">
        <v>168.68</v>
      </c>
      <c r="S7" s="38" t="n">
        <v>3520.74</v>
      </c>
      <c r="T7" s="38" t="n">
        <v>1820.98</v>
      </c>
      <c r="U7" s="38" t="n">
        <v>152.38</v>
      </c>
      <c r="V7" s="40">
        <f>K7/J7</f>
        <v/>
      </c>
      <c r="W7" s="40">
        <f>L7/J7</f>
        <v/>
      </c>
      <c r="X7" s="40">
        <f>J7/M7-1</f>
        <v/>
      </c>
      <c r="Y7" s="40">
        <f>J7/P7-1</f>
        <v/>
      </c>
      <c r="Z7" s="40">
        <f>J7/S7-1</f>
        <v/>
      </c>
      <c r="AA7" s="39">
        <f>D7-G7</f>
        <v/>
      </c>
      <c r="AB7" s="57">
        <f>J7/B1_MEB_Periods!C7</f>
        <v/>
      </c>
      <c r="AC7" s="40">
        <f>J7/$J$27</f>
        <v/>
      </c>
    </row>
    <row r="8" ht="15" customHeight="1" s="28">
      <c r="A8" s="37" t="n">
        <v>2</v>
      </c>
      <c r="B8" s="37" t="inlineStr">
        <is>
          <t>INSIGNIA</t>
        </is>
      </c>
      <c r="C8" s="37" t="inlineStr">
        <is>
          <t>SA</t>
        </is>
      </c>
      <c r="D8" s="38" t="n">
        <v>11292</v>
      </c>
      <c r="E8" s="38" t="n">
        <v>8238</v>
      </c>
      <c r="F8" s="38" t="n">
        <v>7636</v>
      </c>
      <c r="G8" s="38" t="n">
        <v>11277</v>
      </c>
      <c r="H8" s="38" t="n">
        <v>8224</v>
      </c>
      <c r="I8" s="38" t="n">
        <v>7623</v>
      </c>
      <c r="J8" s="38" t="n">
        <v>11292.23</v>
      </c>
      <c r="K8" s="38" t="n">
        <v>8237.780000000001</v>
      </c>
      <c r="L8" s="38" t="n">
        <v>7636.22</v>
      </c>
      <c r="M8" s="38" t="n">
        <v>11009.63</v>
      </c>
      <c r="N8" s="38" t="n">
        <v>8255.49</v>
      </c>
      <c r="O8" s="38" t="n">
        <v>7660.36</v>
      </c>
      <c r="P8" s="38" t="n">
        <v>10755.15</v>
      </c>
      <c r="Q8" s="38" t="n">
        <v>8328.959999999999</v>
      </c>
      <c r="R8" s="38" t="n">
        <v>7737.18</v>
      </c>
      <c r="S8" s="38" t="n">
        <v>10769.1</v>
      </c>
      <c r="T8" s="38" t="n">
        <v>8986.49</v>
      </c>
      <c r="U8" s="38" t="n">
        <v>8276.84</v>
      </c>
      <c r="V8" s="40">
        <f>K8/J8</f>
        <v/>
      </c>
      <c r="W8" s="40">
        <f>L8/J8</f>
        <v/>
      </c>
      <c r="X8" s="40">
        <f>J8/M8-1</f>
        <v/>
      </c>
      <c r="Y8" s="40">
        <f>J8/P8-1</f>
        <v/>
      </c>
      <c r="Z8" s="40">
        <f>J8/S8-1</f>
        <v/>
      </c>
      <c r="AA8" s="39">
        <f>D8-G8</f>
        <v/>
      </c>
      <c r="AB8" s="57">
        <f>J8/B1_MEB_Periods!C8</f>
        <v/>
      </c>
      <c r="AC8" s="40">
        <f>J8/$J$27</f>
        <v/>
      </c>
    </row>
    <row r="9" ht="15" customHeight="1" s="28">
      <c r="A9" s="37" t="n">
        <v>3</v>
      </c>
      <c r="B9" s="37" t="inlineStr">
        <is>
          <t>INSIGNIA</t>
        </is>
      </c>
      <c r="C9" s="37" t="inlineStr">
        <is>
          <t>Deposits</t>
        </is>
      </c>
      <c r="D9" s="38" t="n">
        <v>53834</v>
      </c>
      <c r="E9" s="38" t="n">
        <v>25134</v>
      </c>
      <c r="F9" s="38" t="n">
        <v>17074</v>
      </c>
      <c r="G9" s="38" t="n">
        <v>53779</v>
      </c>
      <c r="H9" s="38" t="n">
        <v>25067</v>
      </c>
      <c r="I9" s="38" t="n">
        <v>17004</v>
      </c>
      <c r="J9" s="38" t="n">
        <v>53834.13</v>
      </c>
      <c r="K9" s="38" t="n">
        <v>25133.69</v>
      </c>
      <c r="L9" s="38" t="n">
        <v>17073.96</v>
      </c>
      <c r="M9" s="38" t="n">
        <v>34820.85</v>
      </c>
      <c r="N9" s="38" t="n">
        <v>24584.69</v>
      </c>
      <c r="O9" s="38" t="n">
        <v>16922.51</v>
      </c>
      <c r="P9" s="38" t="n">
        <v>24851.69</v>
      </c>
      <c r="Q9" s="38" t="n">
        <v>22642.5</v>
      </c>
      <c r="R9" s="38" t="n">
        <v>15771.57</v>
      </c>
      <c r="S9" s="38" t="n">
        <v>21769.31</v>
      </c>
      <c r="T9" s="38" t="n">
        <v>20035.28</v>
      </c>
      <c r="U9" s="38" t="n">
        <v>14567.77</v>
      </c>
      <c r="V9" s="40">
        <f>K9/J9</f>
        <v/>
      </c>
      <c r="W9" s="40">
        <f>L9/J9</f>
        <v/>
      </c>
      <c r="X9" s="40">
        <f>J9/M9-1</f>
        <v/>
      </c>
      <c r="Y9" s="40">
        <f>J9/P9-1</f>
        <v/>
      </c>
      <c r="Z9" s="40">
        <f>J9/S9-1</f>
        <v/>
      </c>
      <c r="AA9" s="39">
        <f>D9-G9</f>
        <v/>
      </c>
      <c r="AB9" s="57">
        <f>J9/B1_MEB_Periods!C9</f>
        <v/>
      </c>
      <c r="AC9" s="40">
        <f>J9/$J$27</f>
        <v/>
      </c>
    </row>
    <row r="10" ht="15" customHeight="1" s="28">
      <c r="A10" s="37" t="n">
        <v>4</v>
      </c>
      <c r="B10" s="37" t="inlineStr">
        <is>
          <t>INSIGNIA</t>
        </is>
      </c>
      <c r="C10" s="37" t="inlineStr">
        <is>
          <t>ODFD</t>
        </is>
      </c>
      <c r="D10" s="38" t="n">
        <v>11</v>
      </c>
      <c r="E10" s="38" t="n">
        <v>11</v>
      </c>
      <c r="F10" s="38" t="n">
        <v>4</v>
      </c>
      <c r="G10" s="38" t="n">
        <v>12</v>
      </c>
      <c r="H10" s="38" t="n">
        <v>12</v>
      </c>
      <c r="I10" s="38" t="n">
        <v>4</v>
      </c>
      <c r="J10" s="38" t="n">
        <v>10.93</v>
      </c>
      <c r="K10" s="38" t="n">
        <v>10.93</v>
      </c>
      <c r="L10" s="38" t="n">
        <v>3.63</v>
      </c>
      <c r="M10" s="38" t="n">
        <v>12.92</v>
      </c>
      <c r="N10" s="38" t="n">
        <v>9.84</v>
      </c>
      <c r="O10" s="38" t="n">
        <v>3.22</v>
      </c>
      <c r="P10" s="38" t="n">
        <v>14.31</v>
      </c>
      <c r="Q10" s="38" t="n">
        <v>14.31</v>
      </c>
      <c r="R10" s="38" t="n">
        <v>2.71</v>
      </c>
      <c r="S10" s="38" t="n">
        <v>5.1</v>
      </c>
      <c r="T10" s="38" t="n">
        <v>5.1</v>
      </c>
      <c r="U10" s="38" t="n">
        <v>3.59</v>
      </c>
      <c r="V10" s="40">
        <f>K10/J10</f>
        <v/>
      </c>
      <c r="W10" s="40">
        <f>L10/J10</f>
        <v/>
      </c>
      <c r="X10" s="40">
        <f>J10/M10-1</f>
        <v/>
      </c>
      <c r="Y10" s="40">
        <f>J10/P10-1</f>
        <v/>
      </c>
      <c r="Z10" s="40">
        <f>J10/S10-1</f>
        <v/>
      </c>
      <c r="AA10" s="39">
        <f>D10-G10</f>
        <v/>
      </c>
      <c r="AB10" s="57">
        <f>J10/B1_MEB_Periods!C10</f>
        <v/>
      </c>
      <c r="AC10" s="40">
        <f>J10/$J$27</f>
        <v/>
      </c>
    </row>
    <row r="11" ht="15" customHeight="1" s="28">
      <c r="A11" s="37" t="n">
        <v>5</v>
      </c>
      <c r="B11" s="37" t="inlineStr">
        <is>
          <t>SIGNATURE</t>
        </is>
      </c>
      <c r="C11" s="37" t="inlineStr">
        <is>
          <t>CA</t>
        </is>
      </c>
      <c r="D11" s="38" t="n">
        <v>464</v>
      </c>
      <c r="E11" s="38" t="n">
        <v>405</v>
      </c>
      <c r="F11" s="38" t="n">
        <v>22</v>
      </c>
      <c r="G11" s="38" t="n">
        <v>465</v>
      </c>
      <c r="H11" s="38" t="n">
        <v>405</v>
      </c>
      <c r="I11" s="38" t="n">
        <v>22</v>
      </c>
      <c r="J11" s="38" t="n">
        <v>464.43</v>
      </c>
      <c r="K11" s="38" t="n">
        <v>404.88</v>
      </c>
      <c r="L11" s="38" t="n">
        <v>22.31</v>
      </c>
      <c r="M11" s="38" t="n">
        <v>448.61</v>
      </c>
      <c r="N11" s="38" t="n">
        <v>407.99</v>
      </c>
      <c r="O11" s="38" t="n">
        <v>23.14</v>
      </c>
      <c r="P11" s="38" t="n">
        <v>451.09</v>
      </c>
      <c r="Q11" s="38" t="n">
        <v>414.86</v>
      </c>
      <c r="R11" s="38" t="n">
        <v>21.05</v>
      </c>
      <c r="S11" s="38" t="n">
        <v>403.49</v>
      </c>
      <c r="T11" s="38" t="n">
        <v>377.86</v>
      </c>
      <c r="U11" s="38" t="n">
        <v>19.1</v>
      </c>
      <c r="V11" s="40">
        <f>K11/J11</f>
        <v/>
      </c>
      <c r="W11" s="40">
        <f>L11/J11</f>
        <v/>
      </c>
      <c r="X11" s="40">
        <f>J11/M11-1</f>
        <v/>
      </c>
      <c r="Y11" s="40">
        <f>J11/P11-1</f>
        <v/>
      </c>
      <c r="Z11" s="40">
        <f>J11/S11-1</f>
        <v/>
      </c>
      <c r="AA11" s="39">
        <f>D11-G11</f>
        <v/>
      </c>
      <c r="AB11" s="57">
        <f>J11/B1_MEB_Periods!D7</f>
        <v/>
      </c>
      <c r="AC11" s="40">
        <f>J11/$J$27</f>
        <v/>
      </c>
    </row>
    <row r="12" ht="15" customHeight="1" s="28">
      <c r="A12" s="37" t="n">
        <v>6</v>
      </c>
      <c r="B12" s="37" t="inlineStr">
        <is>
          <t>SIGNATURE</t>
        </is>
      </c>
      <c r="C12" s="37" t="inlineStr">
        <is>
          <t>SA</t>
        </is>
      </c>
      <c r="D12" s="38" t="n">
        <v>3163</v>
      </c>
      <c r="E12" s="38" t="n">
        <v>2821</v>
      </c>
      <c r="F12" s="38" t="n">
        <v>2634</v>
      </c>
      <c r="G12" s="38" t="n">
        <v>3158</v>
      </c>
      <c r="H12" s="38" t="n">
        <v>2816</v>
      </c>
      <c r="I12" s="38" t="n">
        <v>2630</v>
      </c>
      <c r="J12" s="38" t="n">
        <v>3162.61</v>
      </c>
      <c r="K12" s="38" t="n">
        <v>2820.83</v>
      </c>
      <c r="L12" s="38" t="n">
        <v>2634.12</v>
      </c>
      <c r="M12" s="38" t="n">
        <v>3131.39</v>
      </c>
      <c r="N12" s="38" t="n">
        <v>2840.13</v>
      </c>
      <c r="O12" s="38" t="n">
        <v>2648.78</v>
      </c>
      <c r="P12" s="38" t="n">
        <v>2975.19</v>
      </c>
      <c r="Q12" s="38" t="n">
        <v>2750.52</v>
      </c>
      <c r="R12" s="38" t="n">
        <v>2555.06</v>
      </c>
      <c r="S12" s="38" t="n">
        <v>2889.62</v>
      </c>
      <c r="T12" s="38" t="n">
        <v>2766.81</v>
      </c>
      <c r="U12" s="38" t="n">
        <v>2554.14</v>
      </c>
      <c r="V12" s="40">
        <f>K12/J12</f>
        <v/>
      </c>
      <c r="W12" s="40">
        <f>L12/J12</f>
        <v/>
      </c>
      <c r="X12" s="40">
        <f>J12/M12-1</f>
        <v/>
      </c>
      <c r="Y12" s="40">
        <f>J12/P12-1</f>
        <v/>
      </c>
      <c r="Z12" s="40">
        <f>J12/S12-1</f>
        <v/>
      </c>
      <c r="AA12" s="39">
        <f>D12-G12</f>
        <v/>
      </c>
      <c r="AB12" s="57">
        <f>J12/B1_MEB_Periods!D8</f>
        <v/>
      </c>
      <c r="AC12" s="40">
        <f>J12/$J$27</f>
        <v/>
      </c>
    </row>
    <row r="13" ht="15" customHeight="1" s="28">
      <c r="A13" s="37" t="n">
        <v>7</v>
      </c>
      <c r="B13" s="37" t="inlineStr">
        <is>
          <t>SIGNATURE</t>
        </is>
      </c>
      <c r="C13" s="37" t="inlineStr">
        <is>
          <t>Deposits</t>
        </is>
      </c>
      <c r="D13" s="38" t="n">
        <v>7691</v>
      </c>
      <c r="E13" s="38" t="n">
        <v>6488</v>
      </c>
      <c r="F13" s="38" t="n">
        <v>5165</v>
      </c>
      <c r="G13" s="38" t="n">
        <v>7685</v>
      </c>
      <c r="H13" s="38" t="n">
        <v>6479</v>
      </c>
      <c r="I13" s="38" t="n">
        <v>5156</v>
      </c>
      <c r="J13" s="38" t="n">
        <v>7691.48</v>
      </c>
      <c r="K13" s="38" t="n">
        <v>6488.34</v>
      </c>
      <c r="L13" s="38" t="n">
        <v>5164.5</v>
      </c>
      <c r="M13" s="38" t="n">
        <v>6971.53</v>
      </c>
      <c r="N13" s="38" t="n">
        <v>6415.62</v>
      </c>
      <c r="O13" s="38" t="n">
        <v>5117.17</v>
      </c>
      <c r="P13" s="38" t="n">
        <v>5987.47</v>
      </c>
      <c r="Q13" s="38" t="n">
        <v>5815.5</v>
      </c>
      <c r="R13" s="38" t="n">
        <v>4671.18</v>
      </c>
      <c r="S13" s="38" t="n">
        <v>5563.27</v>
      </c>
      <c r="T13" s="38" t="n">
        <v>5436.99</v>
      </c>
      <c r="U13" s="38" t="n">
        <v>4478.53</v>
      </c>
      <c r="V13" s="40">
        <f>K13/J13</f>
        <v/>
      </c>
      <c r="W13" s="40">
        <f>L13/J13</f>
        <v/>
      </c>
      <c r="X13" s="40">
        <f>J13/M13-1</f>
        <v/>
      </c>
      <c r="Y13" s="40">
        <f>J13/P13-1</f>
        <v/>
      </c>
      <c r="Z13" s="40">
        <f>J13/S13-1</f>
        <v/>
      </c>
      <c r="AA13" s="39">
        <f>D13-G13</f>
        <v/>
      </c>
      <c r="AB13" s="57">
        <f>J13/B1_MEB_Periods!D9</f>
        <v/>
      </c>
      <c r="AC13" s="40">
        <f>J13/$J$27</f>
        <v/>
      </c>
    </row>
    <row r="14" ht="15" customHeight="1" s="28">
      <c r="A14" s="37" t="n">
        <v>8</v>
      </c>
      <c r="B14" s="37" t="inlineStr">
        <is>
          <t>SIGNATURE</t>
        </is>
      </c>
      <c r="C14" s="37" t="inlineStr">
        <is>
          <t>ODFD</t>
        </is>
      </c>
      <c r="D14" s="38" t="n">
        <v>3</v>
      </c>
      <c r="E14" s="38" t="n">
        <v>3</v>
      </c>
      <c r="F14" s="38" t="n">
        <v>1</v>
      </c>
      <c r="G14" s="38" t="n">
        <v>3</v>
      </c>
      <c r="H14" s="38" t="n">
        <v>3</v>
      </c>
      <c r="I14" s="38" t="n">
        <v>1</v>
      </c>
      <c r="J14" s="38" t="n">
        <v>3.39</v>
      </c>
      <c r="K14" s="38" t="n">
        <v>3.39</v>
      </c>
      <c r="L14" s="38" t="n">
        <v>1.34</v>
      </c>
      <c r="M14" s="38" t="n">
        <v>3.54</v>
      </c>
      <c r="N14" s="38" t="n">
        <v>3.54</v>
      </c>
      <c r="O14" s="38" t="n">
        <v>1.42</v>
      </c>
      <c r="P14" s="38" t="n">
        <v>4.75</v>
      </c>
      <c r="Q14" s="38" t="n">
        <v>4.75</v>
      </c>
      <c r="R14" s="38" t="n">
        <v>2.01</v>
      </c>
      <c r="S14" s="38" t="n">
        <v>1.8</v>
      </c>
      <c r="T14" s="38" t="n">
        <v>1.8</v>
      </c>
      <c r="U14" s="38" t="n">
        <v>1.57</v>
      </c>
      <c r="V14" s="40">
        <f>K14/J14</f>
        <v/>
      </c>
      <c r="W14" s="40">
        <f>L14/J14</f>
        <v/>
      </c>
      <c r="X14" s="40">
        <f>J14/M14-1</f>
        <v/>
      </c>
      <c r="Y14" s="40">
        <f>J14/P14-1</f>
        <v/>
      </c>
      <c r="Z14" s="40">
        <f>J14/S14-1</f>
        <v/>
      </c>
      <c r="AA14" s="39">
        <f>D14-G14</f>
        <v/>
      </c>
      <c r="AB14" s="57">
        <f>J14/B1_MEB_Periods!D10</f>
        <v/>
      </c>
      <c r="AC14" s="40">
        <f>J14/$J$27</f>
        <v/>
      </c>
    </row>
    <row r="15" ht="15" customHeight="1" s="28">
      <c r="A15" s="37" t="n">
        <v>9</v>
      </c>
      <c r="B15" s="37" t="inlineStr">
        <is>
          <t>ASPIRE</t>
        </is>
      </c>
      <c r="C15" s="37" t="inlineStr">
        <is>
          <t>CA</t>
        </is>
      </c>
      <c r="D15" s="38" t="n">
        <v>512</v>
      </c>
      <c r="E15" s="38" t="n">
        <v>487</v>
      </c>
      <c r="F15" s="38" t="n">
        <v>25</v>
      </c>
      <c r="G15" s="38" t="n">
        <v>512</v>
      </c>
      <c r="H15" s="38" t="n">
        <v>483</v>
      </c>
      <c r="I15" s="38" t="n">
        <v>25</v>
      </c>
      <c r="J15" s="38" t="n">
        <v>512.41</v>
      </c>
      <c r="K15" s="38" t="n">
        <v>486.51</v>
      </c>
      <c r="L15" s="38" t="n">
        <v>24.9</v>
      </c>
      <c r="M15" s="38" t="n">
        <v>519.02</v>
      </c>
      <c r="N15" s="38" t="n">
        <v>492.3</v>
      </c>
      <c r="O15" s="38" t="n">
        <v>25.79</v>
      </c>
      <c r="P15" s="38" t="n">
        <v>519.49</v>
      </c>
      <c r="Q15" s="38" t="n">
        <v>501.14</v>
      </c>
      <c r="R15" s="38" t="n">
        <v>22.5</v>
      </c>
      <c r="S15" s="38" t="n">
        <v>492.75</v>
      </c>
      <c r="T15" s="38" t="n">
        <v>452.15</v>
      </c>
      <c r="U15" s="38" t="n">
        <v>25.58</v>
      </c>
      <c r="V15" s="40">
        <f>K15/J15</f>
        <v/>
      </c>
      <c r="W15" s="40">
        <f>L15/J15</f>
        <v/>
      </c>
      <c r="X15" s="40">
        <f>J15/M15-1</f>
        <v/>
      </c>
      <c r="Y15" s="40">
        <f>J15/P15-1</f>
        <v/>
      </c>
      <c r="Z15" s="40">
        <f>J15/S15-1</f>
        <v/>
      </c>
      <c r="AA15" s="39">
        <f>D15-G15</f>
        <v/>
      </c>
      <c r="AB15" s="57">
        <f>J15/B1_MEB_Periods!E7</f>
        <v/>
      </c>
      <c r="AC15" s="40">
        <f>J15/$J$27</f>
        <v/>
      </c>
    </row>
    <row r="16" ht="15" customHeight="1" s="28">
      <c r="A16" s="37" t="n">
        <v>10</v>
      </c>
      <c r="B16" s="37" t="inlineStr">
        <is>
          <t>ASPIRE</t>
        </is>
      </c>
      <c r="C16" s="37" t="inlineStr">
        <is>
          <t>SA</t>
        </is>
      </c>
      <c r="D16" s="38" t="n">
        <v>1601</v>
      </c>
      <c r="E16" s="38" t="n">
        <v>1459</v>
      </c>
      <c r="F16" s="38" t="n">
        <v>1358</v>
      </c>
      <c r="G16" s="38" t="n">
        <v>1597</v>
      </c>
      <c r="H16" s="38" t="n">
        <v>1458</v>
      </c>
      <c r="I16" s="38" t="n">
        <v>1357</v>
      </c>
      <c r="J16" s="38" t="n">
        <v>1600.8</v>
      </c>
      <c r="K16" s="38" t="n">
        <v>1459.24</v>
      </c>
      <c r="L16" s="38" t="n">
        <v>1357.7</v>
      </c>
      <c r="M16" s="38" t="n">
        <v>1571.98</v>
      </c>
      <c r="N16" s="38" t="n">
        <v>1438.74</v>
      </c>
      <c r="O16" s="38" t="n">
        <v>1340.47</v>
      </c>
      <c r="P16" s="38" t="n">
        <v>1489.31</v>
      </c>
      <c r="Q16" s="38" t="n">
        <v>1406.7</v>
      </c>
      <c r="R16" s="38" t="n">
        <v>1308.01</v>
      </c>
      <c r="S16" s="38" t="n">
        <v>1397.93</v>
      </c>
      <c r="T16" s="38" t="n">
        <v>1331.13</v>
      </c>
      <c r="U16" s="38" t="n">
        <v>1238.57</v>
      </c>
      <c r="V16" s="40">
        <f>K16/J16</f>
        <v/>
      </c>
      <c r="W16" s="40">
        <f>L16/J16</f>
        <v/>
      </c>
      <c r="X16" s="40">
        <f>J16/M16-1</f>
        <v/>
      </c>
      <c r="Y16" s="40">
        <f>J16/P16-1</f>
        <v/>
      </c>
      <c r="Z16" s="40">
        <f>J16/S16-1</f>
        <v/>
      </c>
      <c r="AA16" s="39">
        <f>D16-G16</f>
        <v/>
      </c>
      <c r="AB16" s="57">
        <f>J16/B1_MEB_Periods!E8</f>
        <v/>
      </c>
      <c r="AC16" s="40">
        <f>J16/$J$27</f>
        <v/>
      </c>
    </row>
    <row r="17" ht="15" customHeight="1" s="28">
      <c r="A17" s="37" t="n">
        <v>11</v>
      </c>
      <c r="B17" s="37" t="inlineStr">
        <is>
          <t>ASPIRE</t>
        </is>
      </c>
      <c r="C17" s="37" t="inlineStr">
        <is>
          <t>Deposits</t>
        </is>
      </c>
      <c r="D17" s="38" t="n">
        <v>6650</v>
      </c>
      <c r="E17" s="38" t="n">
        <v>5238</v>
      </c>
      <c r="F17" s="38" t="n">
        <v>4198</v>
      </c>
      <c r="G17" s="38" t="n">
        <v>6644</v>
      </c>
      <c r="H17" s="38" t="n">
        <v>5232</v>
      </c>
      <c r="I17" s="38" t="n">
        <v>4193</v>
      </c>
      <c r="J17" s="38" t="n">
        <v>6649.5</v>
      </c>
      <c r="K17" s="38" t="n">
        <v>5238.19</v>
      </c>
      <c r="L17" s="38" t="n">
        <v>4198.4</v>
      </c>
      <c r="M17" s="38" t="n">
        <v>6048.97</v>
      </c>
      <c r="N17" s="38" t="n">
        <v>5222.25</v>
      </c>
      <c r="O17" s="38" t="n">
        <v>4195.7</v>
      </c>
      <c r="P17" s="38" t="n">
        <v>5465.44</v>
      </c>
      <c r="Q17" s="38" t="n">
        <v>4833.6</v>
      </c>
      <c r="R17" s="38" t="n">
        <v>3976.14</v>
      </c>
      <c r="S17" s="38" t="n">
        <v>4964.08</v>
      </c>
      <c r="T17" s="38" t="n">
        <v>4556.55</v>
      </c>
      <c r="U17" s="38" t="n">
        <v>3827.28</v>
      </c>
      <c r="V17" s="40">
        <f>K17/J17</f>
        <v/>
      </c>
      <c r="W17" s="40">
        <f>L17/J17</f>
        <v/>
      </c>
      <c r="X17" s="40">
        <f>J17/M17-1</f>
        <v/>
      </c>
      <c r="Y17" s="40">
        <f>J17/P17-1</f>
        <v/>
      </c>
      <c r="Z17" s="40">
        <f>J17/S17-1</f>
        <v/>
      </c>
      <c r="AA17" s="39">
        <f>D17-G17</f>
        <v/>
      </c>
      <c r="AB17" s="57">
        <f>J17/B1_MEB_Periods!E9</f>
        <v/>
      </c>
      <c r="AC17" s="40">
        <f>J17/$J$27</f>
        <v/>
      </c>
    </row>
    <row r="18" ht="15" customHeight="1" s="28">
      <c r="A18" s="37" t="n">
        <v>12</v>
      </c>
      <c r="B18" s="37" t="inlineStr">
        <is>
          <t>ASPIRE</t>
        </is>
      </c>
      <c r="C18" s="37" t="inlineStr">
        <is>
          <t>ODFD</t>
        </is>
      </c>
      <c r="D18" s="38" t="n">
        <v>2</v>
      </c>
      <c r="E18" s="38" t="n">
        <v>2</v>
      </c>
      <c r="F18" s="38" t="n">
        <v>1</v>
      </c>
      <c r="G18" s="38" t="n">
        <v>2</v>
      </c>
      <c r="H18" s="38" t="n">
        <v>2</v>
      </c>
      <c r="I18" s="38" t="n">
        <v>1</v>
      </c>
      <c r="J18" s="38" t="n">
        <v>1.57</v>
      </c>
      <c r="K18" s="38" t="n">
        <v>1.57</v>
      </c>
      <c r="L18" s="38" t="n">
        <v>0.85</v>
      </c>
      <c r="M18" s="38" t="n">
        <v>2.12</v>
      </c>
      <c r="N18" s="38" t="n">
        <v>2.12</v>
      </c>
      <c r="O18" s="38" t="n">
        <v>0.8</v>
      </c>
      <c r="P18" s="38" t="n">
        <v>2.07</v>
      </c>
      <c r="Q18" s="38" t="n">
        <v>2.07</v>
      </c>
      <c r="R18" s="38" t="n">
        <v>1.29</v>
      </c>
      <c r="S18" s="38" t="n">
        <v>0.96</v>
      </c>
      <c r="T18" s="38" t="n">
        <v>0.96</v>
      </c>
      <c r="U18" s="38" t="n">
        <v>0.67</v>
      </c>
      <c r="V18" s="40">
        <f>K18/J18</f>
        <v/>
      </c>
      <c r="W18" s="40">
        <f>L18/J18</f>
        <v/>
      </c>
      <c r="X18" s="40">
        <f>J18/M18-1</f>
        <v/>
      </c>
      <c r="Y18" s="40">
        <f>J18/P18-1</f>
        <v/>
      </c>
      <c r="Z18" s="40">
        <f>J18/S18-1</f>
        <v/>
      </c>
      <c r="AA18" s="39">
        <f>D18-G18</f>
        <v/>
      </c>
      <c r="AB18" s="57">
        <f>J18/B1_MEB_Periods!E10</f>
        <v/>
      </c>
      <c r="AC18" s="40">
        <f>J18/$J$27</f>
        <v/>
      </c>
    </row>
    <row r="19" ht="15" customHeight="1" s="28">
      <c r="A19" s="37" t="n">
        <v>13</v>
      </c>
      <c r="B19" s="37" t="inlineStr">
        <is>
          <t>MASS</t>
        </is>
      </c>
      <c r="C19" s="37" t="inlineStr">
        <is>
          <t>CA</t>
        </is>
      </c>
      <c r="D19" s="38" t="n">
        <v>1430</v>
      </c>
      <c r="E19" s="38" t="n">
        <v>949</v>
      </c>
      <c r="F19" s="38" t="n">
        <v>38</v>
      </c>
      <c r="G19" s="38" t="n">
        <v>1429</v>
      </c>
      <c r="H19" s="38" t="n">
        <v>946</v>
      </c>
      <c r="I19" s="38" t="n">
        <v>38</v>
      </c>
      <c r="J19" s="38" t="n">
        <v>1429.87</v>
      </c>
      <c r="K19" s="38" t="n">
        <v>949.08</v>
      </c>
      <c r="L19" s="38" t="n">
        <v>37.56</v>
      </c>
      <c r="M19" s="38" t="n">
        <v>1488.67</v>
      </c>
      <c r="N19" s="38" t="n">
        <v>928.15</v>
      </c>
      <c r="O19" s="38" t="n">
        <v>36.43</v>
      </c>
      <c r="P19" s="38" t="n">
        <v>1517.97</v>
      </c>
      <c r="Q19" s="38" t="n">
        <v>912.73</v>
      </c>
      <c r="R19" s="38" t="n">
        <v>30.39</v>
      </c>
      <c r="S19" s="38" t="n">
        <v>1018.29</v>
      </c>
      <c r="T19" s="38" t="n">
        <v>754.52</v>
      </c>
      <c r="U19" s="38" t="n">
        <v>28.11</v>
      </c>
      <c r="V19" s="40">
        <f>K19/J19</f>
        <v/>
      </c>
      <c r="W19" s="40">
        <f>L19/J19</f>
        <v/>
      </c>
      <c r="X19" s="40">
        <f>J19/M19-1</f>
        <v/>
      </c>
      <c r="Y19" s="40">
        <f>J19/P19-1</f>
        <v/>
      </c>
      <c r="Z19" s="40">
        <f>J19/S19-1</f>
        <v/>
      </c>
      <c r="AA19" s="39">
        <f>D19-G19</f>
        <v/>
      </c>
      <c r="AB19" s="57">
        <f>J19/B1_MEB_Periods!F7</f>
        <v/>
      </c>
      <c r="AC19" s="40">
        <f>J19/$J$27</f>
        <v/>
      </c>
    </row>
    <row r="20" ht="15" customHeight="1" s="28">
      <c r="A20" s="37" t="n">
        <v>14</v>
      </c>
      <c r="B20" s="37" t="inlineStr">
        <is>
          <t>MASS</t>
        </is>
      </c>
      <c r="C20" s="37" t="inlineStr">
        <is>
          <t>SA</t>
        </is>
      </c>
      <c r="D20" s="38" t="n">
        <v>3425</v>
      </c>
      <c r="E20" s="38" t="n">
        <v>2873</v>
      </c>
      <c r="F20" s="38" t="n">
        <v>2673</v>
      </c>
      <c r="G20" s="38" t="n">
        <v>3420</v>
      </c>
      <c r="H20" s="38" t="n">
        <v>2869</v>
      </c>
      <c r="I20" s="38" t="n">
        <v>2669</v>
      </c>
      <c r="J20" s="38" t="n">
        <v>3424.93</v>
      </c>
      <c r="K20" s="38" t="n">
        <v>2873.5</v>
      </c>
      <c r="L20" s="38" t="n">
        <v>2672.71</v>
      </c>
      <c r="M20" s="38" t="n">
        <v>3310.68</v>
      </c>
      <c r="N20" s="38" t="n">
        <v>2779.41</v>
      </c>
      <c r="O20" s="38" t="n">
        <v>2576.04</v>
      </c>
      <c r="P20" s="38" t="n">
        <v>3585.5</v>
      </c>
      <c r="Q20" s="38" t="n">
        <v>2632.36</v>
      </c>
      <c r="R20" s="38" t="n">
        <v>2430.85</v>
      </c>
      <c r="S20" s="38" t="n">
        <v>2760.59</v>
      </c>
      <c r="T20" s="38" t="n">
        <v>2248.48</v>
      </c>
      <c r="U20" s="38" t="n">
        <v>2070.45</v>
      </c>
      <c r="V20" s="40">
        <f>K20/J20</f>
        <v/>
      </c>
      <c r="W20" s="40">
        <f>L20/J20</f>
        <v/>
      </c>
      <c r="X20" s="40">
        <f>J20/M20-1</f>
        <v/>
      </c>
      <c r="Y20" s="40">
        <f>J20/P20-1</f>
        <v/>
      </c>
      <c r="Z20" s="40">
        <f>J20/S20-1</f>
        <v/>
      </c>
      <c r="AA20" s="39">
        <f>D20-G20</f>
        <v/>
      </c>
      <c r="AB20" s="57">
        <f>J20/B1_MEB_Periods!F8</f>
        <v/>
      </c>
      <c r="AC20" s="40">
        <f>J20/$J$27</f>
        <v/>
      </c>
    </row>
    <row r="21" ht="15" customHeight="1" s="28">
      <c r="A21" s="37" t="n">
        <v>15</v>
      </c>
      <c r="B21" s="37" t="inlineStr">
        <is>
          <t>MASS</t>
        </is>
      </c>
      <c r="C21" s="37" t="inlineStr">
        <is>
          <t>Deposits</t>
        </is>
      </c>
      <c r="D21" s="38" t="n">
        <v>21726</v>
      </c>
      <c r="E21" s="38" t="n">
        <v>7994</v>
      </c>
      <c r="F21" s="38" t="n">
        <v>3431</v>
      </c>
      <c r="G21" s="38" t="n">
        <v>21745</v>
      </c>
      <c r="H21" s="38" t="n">
        <v>7983</v>
      </c>
      <c r="I21" s="38" t="n">
        <v>3422</v>
      </c>
      <c r="J21" s="38" t="n">
        <v>21726.17</v>
      </c>
      <c r="K21" s="38" t="n">
        <v>7994.29</v>
      </c>
      <c r="L21" s="38" t="n">
        <v>3430.71</v>
      </c>
      <c r="M21" s="38" t="n">
        <v>21873.22</v>
      </c>
      <c r="N21" s="38" t="n">
        <v>7730.07</v>
      </c>
      <c r="O21" s="38" t="n">
        <v>3287.99</v>
      </c>
      <c r="P21" s="38" t="n">
        <v>21698.96</v>
      </c>
      <c r="Q21" s="38" t="n">
        <v>6791.36</v>
      </c>
      <c r="R21" s="38" t="n">
        <v>2802.95</v>
      </c>
      <c r="S21" s="38" t="n">
        <v>17832.35</v>
      </c>
      <c r="T21" s="38" t="n">
        <v>5330.82</v>
      </c>
      <c r="U21" s="38" t="n">
        <v>2456.2</v>
      </c>
      <c r="V21" s="40">
        <f>K21/J21</f>
        <v/>
      </c>
      <c r="W21" s="40">
        <f>L21/J21</f>
        <v/>
      </c>
      <c r="X21" s="40">
        <f>J21/M21-1</f>
        <v/>
      </c>
      <c r="Y21" s="40">
        <f>J21/P21-1</f>
        <v/>
      </c>
      <c r="Z21" s="40">
        <f>J21/S21-1</f>
        <v/>
      </c>
      <c r="AA21" s="39">
        <f>D21-G21</f>
        <v/>
      </c>
      <c r="AB21" s="57">
        <f>J21/B1_MEB_Periods!F9</f>
        <v/>
      </c>
      <c r="AC21" s="40">
        <f>J21/$J$27</f>
        <v/>
      </c>
    </row>
    <row r="22" ht="15" customHeight="1" s="28">
      <c r="A22" s="37" t="n">
        <v>16</v>
      </c>
      <c r="B22" s="37" t="inlineStr">
        <is>
          <t>MASS</t>
        </is>
      </c>
      <c r="C22" s="37" t="inlineStr">
        <is>
          <t>ODFD</t>
        </is>
      </c>
      <c r="D22" s="38" t="n">
        <v>12</v>
      </c>
      <c r="E22" s="38" t="n">
        <v>8</v>
      </c>
      <c r="F22" s="38" t="n">
        <v>3</v>
      </c>
      <c r="G22" s="38" t="n">
        <v>12</v>
      </c>
      <c r="H22" s="38" t="n">
        <v>8</v>
      </c>
      <c r="I22" s="38" t="n">
        <v>3</v>
      </c>
      <c r="J22" s="38" t="n">
        <v>11.98</v>
      </c>
      <c r="K22" s="38" t="n">
        <v>8.27</v>
      </c>
      <c r="L22" s="38" t="n">
        <v>2.91</v>
      </c>
      <c r="M22" s="38" t="n">
        <v>12.86</v>
      </c>
      <c r="N22" s="38" t="n">
        <v>3.93</v>
      </c>
      <c r="O22" s="38" t="n">
        <v>2.95</v>
      </c>
      <c r="P22" s="38" t="n">
        <v>8.699999999999999</v>
      </c>
      <c r="Q22" s="38" t="n">
        <v>8.699999999999999</v>
      </c>
      <c r="R22" s="38" t="n">
        <v>3.07</v>
      </c>
      <c r="S22" s="38" t="n">
        <v>7</v>
      </c>
      <c r="T22" s="38" t="n">
        <v>7</v>
      </c>
      <c r="U22" s="38" t="n">
        <v>2.99</v>
      </c>
      <c r="V22" s="40">
        <f>K22/J22</f>
        <v/>
      </c>
      <c r="W22" s="40">
        <f>L22/J22</f>
        <v/>
      </c>
      <c r="X22" s="40">
        <f>J22/M22-1</f>
        <v/>
      </c>
      <c r="Y22" s="40">
        <f>J22/P22-1</f>
        <v/>
      </c>
      <c r="Z22" s="40">
        <f>J22/S22-1</f>
        <v/>
      </c>
      <c r="AA22" s="39">
        <f>D22-G22</f>
        <v/>
      </c>
      <c r="AB22" s="57">
        <f>J22/B1_MEB_Periods!F10</f>
        <v/>
      </c>
      <c r="AC22" s="40">
        <f>J22/$J$27</f>
        <v/>
      </c>
    </row>
    <row r="24" ht="15" customHeight="1" s="28">
      <c r="B24" s="41" t="inlineStr">
        <is>
          <t>Σ all lines (computed)</t>
        </is>
      </c>
      <c r="D24" s="39">
        <f>SUM(D7:D22)</f>
        <v/>
      </c>
      <c r="E24" s="39">
        <f>SUM(E7:E22)</f>
        <v/>
      </c>
      <c r="F24" s="39">
        <f>SUM(F7:F22)</f>
        <v/>
      </c>
      <c r="G24" s="39">
        <f>SUM(G7:G22)</f>
        <v/>
      </c>
      <c r="H24" s="39">
        <f>SUM(H7:H22)</f>
        <v/>
      </c>
      <c r="I24" s="39">
        <f>SUM(I7:I22)</f>
        <v/>
      </c>
      <c r="J24" s="39">
        <f>SUM(J7:J22)</f>
        <v/>
      </c>
      <c r="K24" s="39">
        <f>SUM(K7:K22)</f>
        <v/>
      </c>
      <c r="L24" s="39">
        <f>SUM(L7:L22)</f>
        <v/>
      </c>
      <c r="M24" s="39">
        <f>SUM(M7:M22)</f>
        <v/>
      </c>
      <c r="N24" s="39">
        <f>SUM(N7:N22)</f>
        <v/>
      </c>
      <c r="O24" s="39">
        <f>SUM(O7:O22)</f>
        <v/>
      </c>
      <c r="P24" s="39">
        <f>SUM(P7:P22)</f>
        <v/>
      </c>
      <c r="Q24" s="39">
        <f>SUM(Q7:Q22)</f>
        <v/>
      </c>
      <c r="R24" s="39">
        <f>SUM(R7:R22)</f>
        <v/>
      </c>
      <c r="S24" s="39">
        <f>SUM(S7:S22)</f>
        <v/>
      </c>
      <c r="T24" s="39">
        <f>SUM(T7:T22)</f>
        <v/>
      </c>
      <c r="U24" s="39">
        <f>SUM(U7:U22)</f>
        <v/>
      </c>
    </row>
    <row r="25" ht="15" customHeight="1" s="28">
      <c r="B25" s="41" t="inlineStr">
        <is>
          <t>Grand Total (printed)</t>
        </is>
      </c>
      <c r="D25" s="38" t="n">
        <v>115449</v>
      </c>
      <c r="E25" s="38" t="n">
        <v>64104</v>
      </c>
      <c r="F25" s="38" t="n">
        <v>44426</v>
      </c>
      <c r="G25" s="38" t="n">
        <v>115364</v>
      </c>
      <c r="H25" s="38" t="n">
        <v>63980</v>
      </c>
      <c r="I25" s="38" t="n">
        <v>44312</v>
      </c>
      <c r="J25" s="38" t="n">
        <v>115448.64</v>
      </c>
      <c r="K25" s="38" t="n">
        <v>64103.64</v>
      </c>
      <c r="L25" s="38" t="n">
        <v>44426.48</v>
      </c>
      <c r="M25" s="38" t="n">
        <v>94880.78999999999</v>
      </c>
      <c r="N25" s="38" t="n">
        <v>63121.29</v>
      </c>
      <c r="O25" s="38" t="n">
        <v>44009.26</v>
      </c>
      <c r="P25" s="38" t="n">
        <v>83098.91</v>
      </c>
      <c r="Q25" s="38" t="n">
        <v>59065.73</v>
      </c>
      <c r="R25" s="38" t="n">
        <v>41504.63</v>
      </c>
      <c r="S25" s="38" t="n">
        <v>73396.38</v>
      </c>
      <c r="T25" s="38" t="n">
        <v>54112.92</v>
      </c>
      <c r="U25" s="38" t="n">
        <v>39703.76</v>
      </c>
      <c r="V25" s="40">
        <f>K25/J25</f>
        <v/>
      </c>
      <c r="W25" s="40">
        <f>L25/J25</f>
        <v/>
      </c>
      <c r="X25" s="40">
        <f>J25/M25-1</f>
        <v/>
      </c>
      <c r="Y25" s="40">
        <f>J25/P25-1</f>
        <v/>
      </c>
      <c r="Z25" s="40">
        <f>J25/S25-1</f>
        <v/>
      </c>
      <c r="AA25" s="39">
        <f>D25-G25</f>
        <v/>
      </c>
    </row>
    <row r="26" ht="15" customHeight="1" s="28">
      <c r="B26" s="37" t="inlineStr">
        <is>
          <t>Gap printed − computed</t>
        </is>
      </c>
      <c r="D26" s="39">
        <f>D25-D24</f>
        <v/>
      </c>
      <c r="E26" s="39">
        <f>E25-E24</f>
        <v/>
      </c>
      <c r="F26" s="39">
        <f>F25-F24</f>
        <v/>
      </c>
      <c r="G26" s="39">
        <f>G25-G24</f>
        <v/>
      </c>
      <c r="H26" s="39">
        <f>H25-H24</f>
        <v/>
      </c>
      <c r="I26" s="39">
        <f>I25-I24</f>
        <v/>
      </c>
      <c r="J26" s="39">
        <f>J25-J24</f>
        <v/>
      </c>
      <c r="K26" s="39">
        <f>K25-K24</f>
        <v/>
      </c>
      <c r="L26" s="39">
        <f>L25-L24</f>
        <v/>
      </c>
      <c r="M26" s="39">
        <f>M25-M24</f>
        <v/>
      </c>
      <c r="N26" s="39">
        <f>N25-N24</f>
        <v/>
      </c>
      <c r="O26" s="39">
        <f>O25-O24</f>
        <v/>
      </c>
      <c r="P26" s="39">
        <f>P25-P24</f>
        <v/>
      </c>
      <c r="Q26" s="39">
        <f>Q25-Q24</f>
        <v/>
      </c>
      <c r="R26" s="39">
        <f>R25-R24</f>
        <v/>
      </c>
      <c r="S26" s="39">
        <f>S25-S24</f>
        <v/>
      </c>
      <c r="T26" s="39">
        <f>T25-T24</f>
        <v/>
      </c>
      <c r="U26" s="39">
        <f>U25-U24</f>
        <v/>
      </c>
    </row>
    <row r="27" ht="15" customHeight="1" s="28">
      <c r="B27" s="37" t="inlineStr">
        <is>
          <t>Grand Total used for shares</t>
        </is>
      </c>
      <c r="D27" s="39">
        <f>D25</f>
        <v/>
      </c>
      <c r="E27" s="39">
        <f>E25</f>
        <v/>
      </c>
      <c r="F27" s="39">
        <f>F25</f>
        <v/>
      </c>
      <c r="G27" s="39">
        <f>G25</f>
        <v/>
      </c>
      <c r="H27" s="39">
        <f>H25</f>
        <v/>
      </c>
      <c r="I27" s="39">
        <f>I25</f>
        <v/>
      </c>
      <c r="J27" s="39">
        <f>J25</f>
        <v/>
      </c>
      <c r="K27" s="39">
        <f>K25</f>
        <v/>
      </c>
      <c r="L27" s="39">
        <f>L25</f>
        <v/>
      </c>
      <c r="M27" s="39">
        <f>M25</f>
        <v/>
      </c>
      <c r="N27" s="39">
        <f>N25</f>
        <v/>
      </c>
      <c r="O27" s="39">
        <f>O25</f>
        <v/>
      </c>
      <c r="P27" s="39">
        <f>P25</f>
        <v/>
      </c>
      <c r="Q27" s="39">
        <f>Q25</f>
        <v/>
      </c>
      <c r="R27" s="39">
        <f>R25</f>
        <v/>
      </c>
      <c r="S27" s="39">
        <f>S25</f>
        <v/>
      </c>
      <c r="T27" s="39">
        <f>T25</f>
        <v/>
      </c>
      <c r="U27" s="39">
        <f>U25</f>
        <v/>
      </c>
    </row>
    <row r="29" ht="15" customHeight="1" s="28">
      <c r="A29" s="32" t="inlineStr">
        <is>
          <t>B. Roll-ups by segment and by product (SUMIFS)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</row>
    <row r="30" ht="23.85" customHeight="1" s="28">
      <c r="A30" s="36" t="inlineStr">
        <is>
          <t>#</t>
        </is>
      </c>
      <c r="B30" s="36" t="inlineStr">
        <is>
          <t>Level</t>
        </is>
      </c>
      <c r="C30" s="36" t="inlineStr">
        <is>
          <t>Item</t>
        </is>
      </c>
      <c r="D30" s="36" t="inlineStr">
        <is>
          <t>CD*</t>
        </is>
      </c>
      <c r="E30" s="36" t="inlineStr">
        <is>
          <t>CD &lt; 3 Cr*</t>
        </is>
      </c>
      <c r="F30" s="36" t="inlineStr">
        <is>
          <t>CD &lt; 3 Ind Cr*</t>
        </is>
      </c>
      <c r="G30" s="36" t="inlineStr">
        <is>
          <t>PD*</t>
        </is>
      </c>
      <c r="H30" s="36" t="inlineStr">
        <is>
          <t>PD &lt; 3 Cr*</t>
        </is>
      </c>
      <c r="I30" s="36" t="inlineStr">
        <is>
          <t>PD &lt; 3 Ind Cr*</t>
        </is>
      </c>
      <c r="J30" s="36" t="inlineStr">
        <is>
          <t>CM*</t>
        </is>
      </c>
      <c r="K30" s="36" t="inlineStr">
        <is>
          <t>CM &lt; 3 Cr*</t>
        </is>
      </c>
      <c r="L30" s="36" t="inlineStr">
        <is>
          <t>CM &lt; 3 Ind Cr*</t>
        </is>
      </c>
      <c r="M30" s="36" t="inlineStr">
        <is>
          <t>LM*</t>
        </is>
      </c>
      <c r="N30" s="36" t="inlineStr">
        <is>
          <t>LM &lt; 3 Cr*</t>
        </is>
      </c>
      <c r="O30" s="36" t="inlineStr">
        <is>
          <t>LM &lt; 3 Ind Cr*</t>
        </is>
      </c>
      <c r="P30" s="36" t="inlineStr">
        <is>
          <t>LY*</t>
        </is>
      </c>
      <c r="Q30" s="36" t="inlineStr">
        <is>
          <t>LY &lt; 3 Cr*</t>
        </is>
      </c>
      <c r="R30" s="36" t="inlineStr">
        <is>
          <t>LY &lt; 3 Ind Cr*</t>
        </is>
      </c>
      <c r="S30" s="36" t="inlineStr">
        <is>
          <t>LYCM*</t>
        </is>
      </c>
      <c r="T30" s="36" t="inlineStr">
        <is>
          <t>LYCM &lt; 3 Cr*</t>
        </is>
      </c>
      <c r="U30" s="36" t="inlineStr">
        <is>
          <t>LYCM &lt; 3 Ind Cr*</t>
        </is>
      </c>
      <c r="V30" s="36" t="inlineStr">
        <is>
          <t>&lt; 3 Cr share of CM</t>
        </is>
      </c>
      <c r="W30" s="36" t="inlineStr">
        <is>
          <t>&lt; 3 Ind Cr share of CM</t>
        </is>
      </c>
      <c r="X30" s="36" t="inlineStr">
        <is>
          <t>CM vs LM growth</t>
        </is>
      </c>
      <c r="Y30" s="36" t="inlineStr">
        <is>
          <t>CM vs LY growth</t>
        </is>
      </c>
      <c r="Z30" s="36" t="inlineStr">
        <is>
          <t>CM vs LYCM growth</t>
        </is>
      </c>
      <c r="AA30" s="36" t="inlineStr">
        <is>
          <t>CD − PD</t>
        </is>
      </c>
      <c r="AB30" s="36" t="n"/>
      <c r="AC30" s="36" t="inlineStr">
        <is>
          <t>Share of CM grand total</t>
        </is>
      </c>
    </row>
    <row r="31" ht="15" customHeight="1" s="28">
      <c r="A31" s="37" t="n">
        <v>1</v>
      </c>
      <c r="B31" s="37" t="inlineStr">
        <is>
          <t>Segment</t>
        </is>
      </c>
      <c r="C31" s="41" t="inlineStr">
        <is>
          <t>INSIGNIA</t>
        </is>
      </c>
      <c r="D31" s="39">
        <f>SUMIFS(D$7:D$22,$B$7:$B$22,$C31)</f>
        <v/>
      </c>
      <c r="E31" s="39">
        <f>SUMIFS(E$7:E$22,$B$7:$B$22,$C31)</f>
        <v/>
      </c>
      <c r="F31" s="39">
        <f>SUMIFS(F$7:F$22,$B$7:$B$22,$C31)</f>
        <v/>
      </c>
      <c r="G31" s="39">
        <f>SUMIFS(G$7:G$22,$B$7:$B$22,$C31)</f>
        <v/>
      </c>
      <c r="H31" s="39">
        <f>SUMIFS(H$7:H$22,$B$7:$B$22,$C31)</f>
        <v/>
      </c>
      <c r="I31" s="39">
        <f>SUMIFS(I$7:I$22,$B$7:$B$22,$C31)</f>
        <v/>
      </c>
      <c r="J31" s="39">
        <f>SUMIFS(J$7:J$22,$B$7:$B$22,$C31)</f>
        <v/>
      </c>
      <c r="K31" s="39">
        <f>SUMIFS(K$7:K$22,$B$7:$B$22,$C31)</f>
        <v/>
      </c>
      <c r="L31" s="39">
        <f>SUMIFS(L$7:L$22,$B$7:$B$22,$C31)</f>
        <v/>
      </c>
      <c r="M31" s="39">
        <f>SUMIFS(M$7:M$22,$B$7:$B$22,$C31)</f>
        <v/>
      </c>
      <c r="N31" s="39">
        <f>SUMIFS(N$7:N$22,$B$7:$B$22,$C31)</f>
        <v/>
      </c>
      <c r="O31" s="39">
        <f>SUMIFS(O$7:O$22,$B$7:$B$22,$C31)</f>
        <v/>
      </c>
      <c r="P31" s="39">
        <f>SUMIFS(P$7:P$22,$B$7:$B$22,$C31)</f>
        <v/>
      </c>
      <c r="Q31" s="39">
        <f>SUMIFS(Q$7:Q$22,$B$7:$B$22,$C31)</f>
        <v/>
      </c>
      <c r="R31" s="39">
        <f>SUMIFS(R$7:R$22,$B$7:$B$22,$C31)</f>
        <v/>
      </c>
      <c r="S31" s="39">
        <f>SUMIFS(S$7:S$22,$B$7:$B$22,$C31)</f>
        <v/>
      </c>
      <c r="T31" s="39">
        <f>SUMIFS(T$7:T$22,$B$7:$B$22,$C31)</f>
        <v/>
      </c>
      <c r="U31" s="39">
        <f>SUMIFS(U$7:U$22,$B$7:$B$22,$C31)</f>
        <v/>
      </c>
      <c r="V31" s="40">
        <f>K31/J31</f>
        <v/>
      </c>
      <c r="W31" s="40">
        <f>L31/J31</f>
        <v/>
      </c>
      <c r="X31" s="40">
        <f>J31/M31-1</f>
        <v/>
      </c>
      <c r="Y31" s="40">
        <f>J31/P31-1</f>
        <v/>
      </c>
      <c r="Z31" s="40">
        <f>J31/S31-1</f>
        <v/>
      </c>
      <c r="AA31" s="39">
        <f>D31-G31</f>
        <v/>
      </c>
      <c r="AC31" s="40">
        <f>J31/$J$27</f>
        <v/>
      </c>
    </row>
    <row r="32" ht="15" customHeight="1" s="28">
      <c r="A32" s="37" t="n">
        <v>2</v>
      </c>
      <c r="B32" s="37" t="inlineStr">
        <is>
          <t>Segment</t>
        </is>
      </c>
      <c r="C32" s="41" t="inlineStr">
        <is>
          <t>SIGNATURE</t>
        </is>
      </c>
      <c r="D32" s="39">
        <f>SUMIFS(D$7:D$22,$B$7:$B$22,$C32)</f>
        <v/>
      </c>
      <c r="E32" s="39">
        <f>SUMIFS(E$7:E$22,$B$7:$B$22,$C32)</f>
        <v/>
      </c>
      <c r="F32" s="39">
        <f>SUMIFS(F$7:F$22,$B$7:$B$22,$C32)</f>
        <v/>
      </c>
      <c r="G32" s="39">
        <f>SUMIFS(G$7:G$22,$B$7:$B$22,$C32)</f>
        <v/>
      </c>
      <c r="H32" s="39">
        <f>SUMIFS(H$7:H$22,$B$7:$B$22,$C32)</f>
        <v/>
      </c>
      <c r="I32" s="39">
        <f>SUMIFS(I$7:I$22,$B$7:$B$22,$C32)</f>
        <v/>
      </c>
      <c r="J32" s="39">
        <f>SUMIFS(J$7:J$22,$B$7:$B$22,$C32)</f>
        <v/>
      </c>
      <c r="K32" s="39">
        <f>SUMIFS(K$7:K$22,$B$7:$B$22,$C32)</f>
        <v/>
      </c>
      <c r="L32" s="39">
        <f>SUMIFS(L$7:L$22,$B$7:$B$22,$C32)</f>
        <v/>
      </c>
      <c r="M32" s="39">
        <f>SUMIFS(M$7:M$22,$B$7:$B$22,$C32)</f>
        <v/>
      </c>
      <c r="N32" s="39">
        <f>SUMIFS(N$7:N$22,$B$7:$B$22,$C32)</f>
        <v/>
      </c>
      <c r="O32" s="39">
        <f>SUMIFS(O$7:O$22,$B$7:$B$22,$C32)</f>
        <v/>
      </c>
      <c r="P32" s="39">
        <f>SUMIFS(P$7:P$22,$B$7:$B$22,$C32)</f>
        <v/>
      </c>
      <c r="Q32" s="39">
        <f>SUMIFS(Q$7:Q$22,$B$7:$B$22,$C32)</f>
        <v/>
      </c>
      <c r="R32" s="39">
        <f>SUMIFS(R$7:R$22,$B$7:$B$22,$C32)</f>
        <v/>
      </c>
      <c r="S32" s="39">
        <f>SUMIFS(S$7:S$22,$B$7:$B$22,$C32)</f>
        <v/>
      </c>
      <c r="T32" s="39">
        <f>SUMIFS(T$7:T$22,$B$7:$B$22,$C32)</f>
        <v/>
      </c>
      <c r="U32" s="39">
        <f>SUMIFS(U$7:U$22,$B$7:$B$22,$C32)</f>
        <v/>
      </c>
      <c r="V32" s="40">
        <f>K32/J32</f>
        <v/>
      </c>
      <c r="W32" s="40">
        <f>L32/J32</f>
        <v/>
      </c>
      <c r="X32" s="40">
        <f>J32/M32-1</f>
        <v/>
      </c>
      <c r="Y32" s="40">
        <f>J32/P32-1</f>
        <v/>
      </c>
      <c r="Z32" s="40">
        <f>J32/S32-1</f>
        <v/>
      </c>
      <c r="AA32" s="39">
        <f>D32-G32</f>
        <v/>
      </c>
      <c r="AC32" s="40">
        <f>J32/$J$27</f>
        <v/>
      </c>
    </row>
    <row r="33" ht="15" customHeight="1" s="28">
      <c r="A33" s="37" t="n">
        <v>3</v>
      </c>
      <c r="B33" s="37" t="inlineStr">
        <is>
          <t>Segment</t>
        </is>
      </c>
      <c r="C33" s="41" t="inlineStr">
        <is>
          <t>ASPIRE</t>
        </is>
      </c>
      <c r="D33" s="39">
        <f>SUMIFS(D$7:D$22,$B$7:$B$22,$C33)</f>
        <v/>
      </c>
      <c r="E33" s="39">
        <f>SUMIFS(E$7:E$22,$B$7:$B$22,$C33)</f>
        <v/>
      </c>
      <c r="F33" s="39">
        <f>SUMIFS(F$7:F$22,$B$7:$B$22,$C33)</f>
        <v/>
      </c>
      <c r="G33" s="39">
        <f>SUMIFS(G$7:G$22,$B$7:$B$22,$C33)</f>
        <v/>
      </c>
      <c r="H33" s="39">
        <f>SUMIFS(H$7:H$22,$B$7:$B$22,$C33)</f>
        <v/>
      </c>
      <c r="I33" s="39">
        <f>SUMIFS(I$7:I$22,$B$7:$B$22,$C33)</f>
        <v/>
      </c>
      <c r="J33" s="39">
        <f>SUMIFS(J$7:J$22,$B$7:$B$22,$C33)</f>
        <v/>
      </c>
      <c r="K33" s="39">
        <f>SUMIFS(K$7:K$22,$B$7:$B$22,$C33)</f>
        <v/>
      </c>
      <c r="L33" s="39">
        <f>SUMIFS(L$7:L$22,$B$7:$B$22,$C33)</f>
        <v/>
      </c>
      <c r="M33" s="39">
        <f>SUMIFS(M$7:M$22,$B$7:$B$22,$C33)</f>
        <v/>
      </c>
      <c r="N33" s="39">
        <f>SUMIFS(N$7:N$22,$B$7:$B$22,$C33)</f>
        <v/>
      </c>
      <c r="O33" s="39">
        <f>SUMIFS(O$7:O$22,$B$7:$B$22,$C33)</f>
        <v/>
      </c>
      <c r="P33" s="39">
        <f>SUMIFS(P$7:P$22,$B$7:$B$22,$C33)</f>
        <v/>
      </c>
      <c r="Q33" s="39">
        <f>SUMIFS(Q$7:Q$22,$B$7:$B$22,$C33)</f>
        <v/>
      </c>
      <c r="R33" s="39">
        <f>SUMIFS(R$7:R$22,$B$7:$B$22,$C33)</f>
        <v/>
      </c>
      <c r="S33" s="39">
        <f>SUMIFS(S$7:S$22,$B$7:$B$22,$C33)</f>
        <v/>
      </c>
      <c r="T33" s="39">
        <f>SUMIFS(T$7:T$22,$B$7:$B$22,$C33)</f>
        <v/>
      </c>
      <c r="U33" s="39">
        <f>SUMIFS(U$7:U$22,$B$7:$B$22,$C33)</f>
        <v/>
      </c>
      <c r="V33" s="40">
        <f>K33/J33</f>
        <v/>
      </c>
      <c r="W33" s="40">
        <f>L33/J33</f>
        <v/>
      </c>
      <c r="X33" s="40">
        <f>J33/M33-1</f>
        <v/>
      </c>
      <c r="Y33" s="40">
        <f>J33/P33-1</f>
        <v/>
      </c>
      <c r="Z33" s="40">
        <f>J33/S33-1</f>
        <v/>
      </c>
      <c r="AA33" s="39">
        <f>D33-G33</f>
        <v/>
      </c>
      <c r="AC33" s="40">
        <f>J33/$J$27</f>
        <v/>
      </c>
    </row>
    <row r="34" ht="15" customHeight="1" s="28">
      <c r="A34" s="37" t="n">
        <v>4</v>
      </c>
      <c r="B34" s="37" t="inlineStr">
        <is>
          <t>Segment</t>
        </is>
      </c>
      <c r="C34" s="41" t="inlineStr">
        <is>
          <t>MASS</t>
        </is>
      </c>
      <c r="D34" s="39">
        <f>SUMIFS(D$7:D$22,$B$7:$B$22,$C34)</f>
        <v/>
      </c>
      <c r="E34" s="39">
        <f>SUMIFS(E$7:E$22,$B$7:$B$22,$C34)</f>
        <v/>
      </c>
      <c r="F34" s="39">
        <f>SUMIFS(F$7:F$22,$B$7:$B$22,$C34)</f>
        <v/>
      </c>
      <c r="G34" s="39">
        <f>SUMIFS(G$7:G$22,$B$7:$B$22,$C34)</f>
        <v/>
      </c>
      <c r="H34" s="39">
        <f>SUMIFS(H$7:H$22,$B$7:$B$22,$C34)</f>
        <v/>
      </c>
      <c r="I34" s="39">
        <f>SUMIFS(I$7:I$22,$B$7:$B$22,$C34)</f>
        <v/>
      </c>
      <c r="J34" s="39">
        <f>SUMIFS(J$7:J$22,$B$7:$B$22,$C34)</f>
        <v/>
      </c>
      <c r="K34" s="39">
        <f>SUMIFS(K$7:K$22,$B$7:$B$22,$C34)</f>
        <v/>
      </c>
      <c r="L34" s="39">
        <f>SUMIFS(L$7:L$22,$B$7:$B$22,$C34)</f>
        <v/>
      </c>
      <c r="M34" s="39">
        <f>SUMIFS(M$7:M$22,$B$7:$B$22,$C34)</f>
        <v/>
      </c>
      <c r="N34" s="39">
        <f>SUMIFS(N$7:N$22,$B$7:$B$22,$C34)</f>
        <v/>
      </c>
      <c r="O34" s="39">
        <f>SUMIFS(O$7:O$22,$B$7:$B$22,$C34)</f>
        <v/>
      </c>
      <c r="P34" s="39">
        <f>SUMIFS(P$7:P$22,$B$7:$B$22,$C34)</f>
        <v/>
      </c>
      <c r="Q34" s="39">
        <f>SUMIFS(Q$7:Q$22,$B$7:$B$22,$C34)</f>
        <v/>
      </c>
      <c r="R34" s="39">
        <f>SUMIFS(R$7:R$22,$B$7:$B$22,$C34)</f>
        <v/>
      </c>
      <c r="S34" s="39">
        <f>SUMIFS(S$7:S$22,$B$7:$B$22,$C34)</f>
        <v/>
      </c>
      <c r="T34" s="39">
        <f>SUMIFS(T$7:T$22,$B$7:$B$22,$C34)</f>
        <v/>
      </c>
      <c r="U34" s="39">
        <f>SUMIFS(U$7:U$22,$B$7:$B$22,$C34)</f>
        <v/>
      </c>
      <c r="V34" s="40">
        <f>K34/J34</f>
        <v/>
      </c>
      <c r="W34" s="40">
        <f>L34/J34</f>
        <v/>
      </c>
      <c r="X34" s="40">
        <f>J34/M34-1</f>
        <v/>
      </c>
      <c r="Y34" s="40">
        <f>J34/P34-1</f>
        <v/>
      </c>
      <c r="Z34" s="40">
        <f>J34/S34-1</f>
        <v/>
      </c>
      <c r="AA34" s="39">
        <f>D34-G34</f>
        <v/>
      </c>
      <c r="AC34" s="40">
        <f>J34/$J$27</f>
        <v/>
      </c>
    </row>
    <row r="35" ht="15" customHeight="1" s="28">
      <c r="A35" s="37" t="n">
        <v>5</v>
      </c>
      <c r="B35" s="37" t="inlineStr">
        <is>
          <t>Product</t>
        </is>
      </c>
      <c r="C35" s="41" t="inlineStr">
        <is>
          <t>CA</t>
        </is>
      </c>
      <c r="D35" s="39">
        <f>SUMIFS(D$7:D$22,$C$7:$C$22,$C35)</f>
        <v/>
      </c>
      <c r="E35" s="39">
        <f>SUMIFS(E$7:E$22,$C$7:$C$22,$C35)</f>
        <v/>
      </c>
      <c r="F35" s="39">
        <f>SUMIFS(F$7:F$22,$C$7:$C$22,$C35)</f>
        <v/>
      </c>
      <c r="G35" s="39">
        <f>SUMIFS(G$7:G$22,$C$7:$C$22,$C35)</f>
        <v/>
      </c>
      <c r="H35" s="39">
        <f>SUMIFS(H$7:H$22,$C$7:$C$22,$C35)</f>
        <v/>
      </c>
      <c r="I35" s="39">
        <f>SUMIFS(I$7:I$22,$C$7:$C$22,$C35)</f>
        <v/>
      </c>
      <c r="J35" s="39">
        <f>SUMIFS(J$7:J$22,$C$7:$C$22,$C35)</f>
        <v/>
      </c>
      <c r="K35" s="39">
        <f>SUMIFS(K$7:K$22,$C$7:$C$22,$C35)</f>
        <v/>
      </c>
      <c r="L35" s="39">
        <f>SUMIFS(L$7:L$22,$C$7:$C$22,$C35)</f>
        <v/>
      </c>
      <c r="M35" s="39">
        <f>SUMIFS(M$7:M$22,$C$7:$C$22,$C35)</f>
        <v/>
      </c>
      <c r="N35" s="39">
        <f>SUMIFS(N$7:N$22,$C$7:$C$22,$C35)</f>
        <v/>
      </c>
      <c r="O35" s="39">
        <f>SUMIFS(O$7:O$22,$C$7:$C$22,$C35)</f>
        <v/>
      </c>
      <c r="P35" s="39">
        <f>SUMIFS(P$7:P$22,$C$7:$C$22,$C35)</f>
        <v/>
      </c>
      <c r="Q35" s="39">
        <f>SUMIFS(Q$7:Q$22,$C$7:$C$22,$C35)</f>
        <v/>
      </c>
      <c r="R35" s="39">
        <f>SUMIFS(R$7:R$22,$C$7:$C$22,$C35)</f>
        <v/>
      </c>
      <c r="S35" s="39">
        <f>SUMIFS(S$7:S$22,$C$7:$C$22,$C35)</f>
        <v/>
      </c>
      <c r="T35" s="39">
        <f>SUMIFS(T$7:T$22,$C$7:$C$22,$C35)</f>
        <v/>
      </c>
      <c r="U35" s="39">
        <f>SUMIFS(U$7:U$22,$C$7:$C$22,$C35)</f>
        <v/>
      </c>
      <c r="V35" s="40">
        <f>K35/J35</f>
        <v/>
      </c>
      <c r="W35" s="40">
        <f>L35/J35</f>
        <v/>
      </c>
      <c r="X35" s="40">
        <f>J35/M35-1</f>
        <v/>
      </c>
      <c r="Y35" s="40">
        <f>J35/P35-1</f>
        <v/>
      </c>
      <c r="Z35" s="40">
        <f>J35/S35-1</f>
        <v/>
      </c>
      <c r="AA35" s="39">
        <f>D35-G35</f>
        <v/>
      </c>
      <c r="AC35" s="40">
        <f>J35/$J$27</f>
        <v/>
      </c>
    </row>
    <row r="36" ht="15" customHeight="1" s="28">
      <c r="A36" s="37" t="n">
        <v>6</v>
      </c>
      <c r="B36" s="37" t="inlineStr">
        <is>
          <t>Product</t>
        </is>
      </c>
      <c r="C36" s="41" t="inlineStr">
        <is>
          <t>SA</t>
        </is>
      </c>
      <c r="D36" s="39">
        <f>SUMIFS(D$7:D$22,$C$7:$C$22,$C36)</f>
        <v/>
      </c>
      <c r="E36" s="39">
        <f>SUMIFS(E$7:E$22,$C$7:$C$22,$C36)</f>
        <v/>
      </c>
      <c r="F36" s="39">
        <f>SUMIFS(F$7:F$22,$C$7:$C$22,$C36)</f>
        <v/>
      </c>
      <c r="G36" s="39">
        <f>SUMIFS(G$7:G$22,$C$7:$C$22,$C36)</f>
        <v/>
      </c>
      <c r="H36" s="39">
        <f>SUMIFS(H$7:H$22,$C$7:$C$22,$C36)</f>
        <v/>
      </c>
      <c r="I36" s="39">
        <f>SUMIFS(I$7:I$22,$C$7:$C$22,$C36)</f>
        <v/>
      </c>
      <c r="J36" s="39">
        <f>SUMIFS(J$7:J$22,$C$7:$C$22,$C36)</f>
        <v/>
      </c>
      <c r="K36" s="39">
        <f>SUMIFS(K$7:K$22,$C$7:$C$22,$C36)</f>
        <v/>
      </c>
      <c r="L36" s="39">
        <f>SUMIFS(L$7:L$22,$C$7:$C$22,$C36)</f>
        <v/>
      </c>
      <c r="M36" s="39">
        <f>SUMIFS(M$7:M$22,$C$7:$C$22,$C36)</f>
        <v/>
      </c>
      <c r="N36" s="39">
        <f>SUMIFS(N$7:N$22,$C$7:$C$22,$C36)</f>
        <v/>
      </c>
      <c r="O36" s="39">
        <f>SUMIFS(O$7:O$22,$C$7:$C$22,$C36)</f>
        <v/>
      </c>
      <c r="P36" s="39">
        <f>SUMIFS(P$7:P$22,$C$7:$C$22,$C36)</f>
        <v/>
      </c>
      <c r="Q36" s="39">
        <f>SUMIFS(Q$7:Q$22,$C$7:$C$22,$C36)</f>
        <v/>
      </c>
      <c r="R36" s="39">
        <f>SUMIFS(R$7:R$22,$C$7:$C$22,$C36)</f>
        <v/>
      </c>
      <c r="S36" s="39">
        <f>SUMIFS(S$7:S$22,$C$7:$C$22,$C36)</f>
        <v/>
      </c>
      <c r="T36" s="39">
        <f>SUMIFS(T$7:T$22,$C$7:$C$22,$C36)</f>
        <v/>
      </c>
      <c r="U36" s="39">
        <f>SUMIFS(U$7:U$22,$C$7:$C$22,$C36)</f>
        <v/>
      </c>
      <c r="V36" s="40">
        <f>K36/J36</f>
        <v/>
      </c>
      <c r="W36" s="40">
        <f>L36/J36</f>
        <v/>
      </c>
      <c r="X36" s="40">
        <f>J36/M36-1</f>
        <v/>
      </c>
      <c r="Y36" s="40">
        <f>J36/P36-1</f>
        <v/>
      </c>
      <c r="Z36" s="40">
        <f>J36/S36-1</f>
        <v/>
      </c>
      <c r="AA36" s="39">
        <f>D36-G36</f>
        <v/>
      </c>
      <c r="AC36" s="40">
        <f>J36/$J$27</f>
        <v/>
      </c>
    </row>
    <row r="37" ht="15" customHeight="1" s="28">
      <c r="A37" s="37" t="n">
        <v>7</v>
      </c>
      <c r="B37" s="37" t="inlineStr">
        <is>
          <t>Product</t>
        </is>
      </c>
      <c r="C37" s="41" t="inlineStr">
        <is>
          <t>Deposits</t>
        </is>
      </c>
      <c r="D37" s="39">
        <f>SUMIFS(D$7:D$22,$C$7:$C$22,$C37)</f>
        <v/>
      </c>
      <c r="E37" s="39">
        <f>SUMIFS(E$7:E$22,$C$7:$C$22,$C37)</f>
        <v/>
      </c>
      <c r="F37" s="39">
        <f>SUMIFS(F$7:F$22,$C$7:$C$22,$C37)</f>
        <v/>
      </c>
      <c r="G37" s="39">
        <f>SUMIFS(G$7:G$22,$C$7:$C$22,$C37)</f>
        <v/>
      </c>
      <c r="H37" s="39">
        <f>SUMIFS(H$7:H$22,$C$7:$C$22,$C37)</f>
        <v/>
      </c>
      <c r="I37" s="39">
        <f>SUMIFS(I$7:I$22,$C$7:$C$22,$C37)</f>
        <v/>
      </c>
      <c r="J37" s="39">
        <f>SUMIFS(J$7:J$22,$C$7:$C$22,$C37)</f>
        <v/>
      </c>
      <c r="K37" s="39">
        <f>SUMIFS(K$7:K$22,$C$7:$C$22,$C37)</f>
        <v/>
      </c>
      <c r="L37" s="39">
        <f>SUMIFS(L$7:L$22,$C$7:$C$22,$C37)</f>
        <v/>
      </c>
      <c r="M37" s="39">
        <f>SUMIFS(M$7:M$22,$C$7:$C$22,$C37)</f>
        <v/>
      </c>
      <c r="N37" s="39">
        <f>SUMIFS(N$7:N$22,$C$7:$C$22,$C37)</f>
        <v/>
      </c>
      <c r="O37" s="39">
        <f>SUMIFS(O$7:O$22,$C$7:$C$22,$C37)</f>
        <v/>
      </c>
      <c r="P37" s="39">
        <f>SUMIFS(P$7:P$22,$C$7:$C$22,$C37)</f>
        <v/>
      </c>
      <c r="Q37" s="39">
        <f>SUMIFS(Q$7:Q$22,$C$7:$C$22,$C37)</f>
        <v/>
      </c>
      <c r="R37" s="39">
        <f>SUMIFS(R$7:R$22,$C$7:$C$22,$C37)</f>
        <v/>
      </c>
      <c r="S37" s="39">
        <f>SUMIFS(S$7:S$22,$C$7:$C$22,$C37)</f>
        <v/>
      </c>
      <c r="T37" s="39">
        <f>SUMIFS(T$7:T$22,$C$7:$C$22,$C37)</f>
        <v/>
      </c>
      <c r="U37" s="39">
        <f>SUMIFS(U$7:U$22,$C$7:$C$22,$C37)</f>
        <v/>
      </c>
      <c r="V37" s="40">
        <f>K37/J37</f>
        <v/>
      </c>
      <c r="W37" s="40">
        <f>L37/J37</f>
        <v/>
      </c>
      <c r="X37" s="40">
        <f>J37/M37-1</f>
        <v/>
      </c>
      <c r="Y37" s="40">
        <f>J37/P37-1</f>
        <v/>
      </c>
      <c r="Z37" s="40">
        <f>J37/S37-1</f>
        <v/>
      </c>
      <c r="AA37" s="39">
        <f>D37-G37</f>
        <v/>
      </c>
      <c r="AC37" s="40">
        <f>J37/$J$27</f>
        <v/>
      </c>
    </row>
    <row r="38" ht="15" customHeight="1" s="28">
      <c r="A38" s="37" t="n">
        <v>8</v>
      </c>
      <c r="B38" s="37" t="inlineStr">
        <is>
          <t>Product</t>
        </is>
      </c>
      <c r="C38" s="41" t="inlineStr">
        <is>
          <t>ODFD</t>
        </is>
      </c>
      <c r="D38" s="39">
        <f>SUMIFS(D$7:D$22,$C$7:$C$22,$C38)</f>
        <v/>
      </c>
      <c r="E38" s="39">
        <f>SUMIFS(E$7:E$22,$C$7:$C$22,$C38)</f>
        <v/>
      </c>
      <c r="F38" s="39">
        <f>SUMIFS(F$7:F$22,$C$7:$C$22,$C38)</f>
        <v/>
      </c>
      <c r="G38" s="39">
        <f>SUMIFS(G$7:G$22,$C$7:$C$22,$C38)</f>
        <v/>
      </c>
      <c r="H38" s="39">
        <f>SUMIFS(H$7:H$22,$C$7:$C$22,$C38)</f>
        <v/>
      </c>
      <c r="I38" s="39">
        <f>SUMIFS(I$7:I$22,$C$7:$C$22,$C38)</f>
        <v/>
      </c>
      <c r="J38" s="39">
        <f>SUMIFS(J$7:J$22,$C$7:$C$22,$C38)</f>
        <v/>
      </c>
      <c r="K38" s="39">
        <f>SUMIFS(K$7:K$22,$C$7:$C$22,$C38)</f>
        <v/>
      </c>
      <c r="L38" s="39">
        <f>SUMIFS(L$7:L$22,$C$7:$C$22,$C38)</f>
        <v/>
      </c>
      <c r="M38" s="39">
        <f>SUMIFS(M$7:M$22,$C$7:$C$22,$C38)</f>
        <v/>
      </c>
      <c r="N38" s="39">
        <f>SUMIFS(N$7:N$22,$C$7:$C$22,$C38)</f>
        <v/>
      </c>
      <c r="O38" s="39">
        <f>SUMIFS(O$7:O$22,$C$7:$C$22,$C38)</f>
        <v/>
      </c>
      <c r="P38" s="39">
        <f>SUMIFS(P$7:P$22,$C$7:$C$22,$C38)</f>
        <v/>
      </c>
      <c r="Q38" s="39">
        <f>SUMIFS(Q$7:Q$22,$C$7:$C$22,$C38)</f>
        <v/>
      </c>
      <c r="R38" s="39">
        <f>SUMIFS(R$7:R$22,$C$7:$C$22,$C38)</f>
        <v/>
      </c>
      <c r="S38" s="39">
        <f>SUMIFS(S$7:S$22,$C$7:$C$22,$C38)</f>
        <v/>
      </c>
      <c r="T38" s="39">
        <f>SUMIFS(T$7:T$22,$C$7:$C$22,$C38)</f>
        <v/>
      </c>
      <c r="U38" s="39">
        <f>SUMIFS(U$7:U$22,$C$7:$C$22,$C38)</f>
        <v/>
      </c>
      <c r="V38" s="40">
        <f>K38/J38</f>
        <v/>
      </c>
      <c r="W38" s="40">
        <f>L38/J38</f>
        <v/>
      </c>
      <c r="X38" s="40">
        <f>J38/M38-1</f>
        <v/>
      </c>
      <c r="Y38" s="40">
        <f>J38/P38-1</f>
        <v/>
      </c>
      <c r="Z38" s="40">
        <f>J38/S38-1</f>
        <v/>
      </c>
      <c r="AA38" s="39">
        <f>D38-G38</f>
        <v/>
      </c>
      <c r="AC38" s="40">
        <f>J38/$J$27</f>
        <v/>
      </c>
    </row>
    <row r="41" ht="15" customHeight="1" s="28">
      <c r="A41" s="32" t="inlineStr">
        <is>
          <t>Data points to flag before metrics (live checks)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</row>
    <row r="42" ht="23.85" customHeight="1" s="28">
      <c r="A42" s="36" t="inlineStr">
        <is>
          <t>#</t>
        </is>
      </c>
      <c r="B42" s="36" t="inlineStr">
        <is>
          <t>Flag</t>
        </is>
      </c>
      <c r="C42" s="36" t="inlineStr">
        <is>
          <t>Check value (live)</t>
        </is>
      </c>
      <c r="D42" s="36" t="inlineStr">
        <is>
          <t>Unit</t>
        </is>
      </c>
      <c r="E42" s="36" t="inlineStr">
        <is>
          <t>Implication / action</t>
        </is>
      </c>
    </row>
    <row r="43" ht="57.45" customHeight="1" s="28">
      <c r="A43" s="37" t="n">
        <v>1</v>
      </c>
      <c r="B43" s="47" t="inlineStr">
        <is>
          <t>Printed Grand Total vs Σ lines — max absolute gap across the 18 columns:</t>
        </is>
      </c>
      <c r="C43" s="39">
        <f>MAX(ABS(MIN(D26:U26)),MAX(D26:U26))</f>
        <v/>
      </c>
      <c r="D43" s="37" t="inlineStr">
        <is>
          <t>₹ Cr</t>
        </is>
      </c>
      <c r="E43" s="48" t="inlineStr">
        <is>
          <t>Rounding (CD/PD columns are printed to whole ₹ Cr).</t>
        </is>
      </c>
    </row>
    <row r="44" ht="79.84999999999999" customHeight="1" s="28">
      <c r="A44" s="37" t="n">
        <v>2</v>
      </c>
      <c r="B44" s="47" t="inlineStr">
        <is>
          <t>CM* grand total equals the MAB page grand total (115,448.64) and CM vs LM / CM vs LY diffs there equal CM − LM* and CM − LY* here.</t>
        </is>
      </c>
      <c r="C44" s="39">
        <f>J25-M25</f>
        <v/>
      </c>
      <c r="D44" s="37" t="inlineStr">
        <is>
          <t>₹ Cr</t>
        </is>
      </c>
      <c r="E44" s="48" t="inlineStr">
        <is>
          <t>Confirms LM* / LY* are the comparison bases used on the MAB page.</t>
        </is>
      </c>
    </row>
    <row r="45" ht="46.25" customHeight="1" s="28">
      <c r="A45" s="37" t="n">
        <v>3</v>
      </c>
      <c r="B45" s="47" t="inlineStr">
        <is>
          <t>Customers below ₹3 Cr hold only about half of CM MAB; &lt; 3 Cr share of CM MAB:</t>
        </is>
      </c>
      <c r="C45" s="40">
        <f>V25</f>
        <v/>
      </c>
      <c r="D45" s="37" t="inlineStr">
        <is>
          <t>%</t>
        </is>
      </c>
      <c r="E45" s="48" t="inlineStr">
        <is>
          <t>The ≥ ₹3 Cr book (large / institutional) drives growth.</t>
        </is>
      </c>
    </row>
    <row r="46" ht="46.25" customHeight="1" s="28">
      <c r="A46" s="37" t="n">
        <v>4</v>
      </c>
      <c r="B46" s="47" t="inlineStr">
        <is>
          <t>CD* and CM* are near-identical (the CD view is the current month to date): CD − CM grand total</t>
        </is>
      </c>
      <c r="C46" s="39">
        <f>D25-J25</f>
        <v/>
      </c>
      <c r="D46" s="37" t="inlineStr">
        <is>
          <t>₹ Cr</t>
        </is>
      </c>
      <c r="E46" s="48" t="inlineStr">
        <is>
          <t>Use CM* as the month figure.</t>
        </is>
      </c>
    </row>
    <row r="47" ht="57.45" customHeight="1" s="28">
      <c r="A47" s="37" t="n">
        <v>5</v>
      </c>
      <c r="B47" s="47" t="inlineStr">
        <is>
          <t>Daily movement CD − PD at grand total:</t>
        </is>
      </c>
      <c r="C47" s="39">
        <f>D25-G25</f>
        <v/>
      </c>
      <c r="D47" s="37" t="inlineStr">
        <is>
          <t>₹ Cr</t>
        </is>
      </c>
      <c r="E47" s="48" t="inlineStr">
        <is>
          <t>Small; MASS deposits moved opposite to INSIGNIA.</t>
        </is>
      </c>
    </row>
    <row r="49" ht="15" customHeight="1" s="28">
      <c r="A49" s="32" t="inlineStr">
        <is>
          <t>Notation and exhaustive metrics table for this block: see sheet B2_Metrics</t>
        </is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33" t="n"/>
    </row>
    <row r="52" ht="15" customHeight="1" s="28">
      <c r="A52" s="31" t="inlineStr">
        <is>
          <t>⚠ DRAFT ONLY — Requires review and approval by a qualified Alvarez and Marsal professional before use.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20" customWidth="1" style="27" min="2" max="2"/>
    <col width="36" customWidth="1" style="27" min="3" max="3"/>
    <col width="44" customWidth="1" style="27" min="4" max="4"/>
    <col width="24" customWidth="1" style="27" min="5" max="5"/>
    <col width="78" customWidth="1" style="27" min="6" max="6"/>
    <col width="72" customWidth="1" style="28" min="7" max="7"/>
    <col width="14" customWidth="1" style="28" min="8" max="8"/>
  </cols>
  <sheetData>
    <row r="1" ht="17.35" customHeight="1" s="28">
      <c r="A1" s="29" t="inlineStr">
        <is>
          <t>Block 2 — Balance Movement (MAB): notation and metrics</t>
        </is>
      </c>
    </row>
    <row r="2" ht="15" customHeight="1" s="28">
      <c r="A2" s="30" t="inlineStr">
        <is>
          <t>Format: Notation → Exhaustive metrics table | Example column = live Excel formula on the block sheet (green = cross-sheet)</t>
        </is>
      </c>
    </row>
    <row r="3" ht="15" customHeight="1" s="28">
      <c r="A3" s="31" t="inlineStr">
        <is>
          <t>⚠ DRAFT ONLY — Requires review and approval by a qualified Alvarez and Marsal professional before use.</t>
        </is>
      </c>
    </row>
    <row r="4"/>
    <row r="5" ht="15" customHeight="1" s="28">
      <c r="A5" s="32" t="inlineStr">
        <is>
          <t>Notation</t>
        </is>
      </c>
      <c r="B5" s="33" t="n"/>
      <c r="C5" s="33" t="n"/>
      <c r="D5" s="33" t="n"/>
      <c r="E5" s="33" t="n"/>
      <c r="F5" s="33" t="n"/>
    </row>
    <row r="6" ht="15" customHeight="1" s="28">
      <c r="B6" s="50" t="inlineStr">
        <is>
          <t>Symbol</t>
        </is>
      </c>
      <c r="C6" s="50" t="inlineStr">
        <is>
          <t>Meaning</t>
        </is>
      </c>
      <c r="D6" s="51" t="n"/>
      <c r="E6" s="51" t="n"/>
      <c r="F6" s="52" t="n"/>
    </row>
    <row r="7" ht="15" customHeight="1" s="28">
      <c r="B7" s="41" t="inlineStr">
        <is>
          <t>MAB</t>
        </is>
      </c>
      <c r="C7" s="48" t="inlineStr">
        <is>
          <t>Monthly average balance, ₹ Cr</t>
        </is>
      </c>
      <c r="D7" s="51" t="n"/>
      <c r="E7" s="51" t="n"/>
      <c r="F7" s="52" t="n"/>
    </row>
    <row r="8" ht="15" customHeight="1" s="28">
      <c r="B8" s="41" t="inlineStr">
        <is>
          <t>M(s,p,v)</t>
        </is>
      </c>
      <c r="C8" s="48" t="inlineStr">
        <is>
          <t>MAB of segment s, product p for view v</t>
        </is>
      </c>
      <c r="D8" s="51" t="n"/>
      <c r="E8" s="51" t="n"/>
      <c r="F8" s="52" t="n"/>
    </row>
    <row r="9" ht="15" customHeight="1" s="28">
      <c r="B9" s="41" t="inlineStr">
        <is>
          <t>v</t>
        </is>
      </c>
      <c r="C9" s="48" t="inlineStr">
        <is>
          <t>CD = current day (MTD); PD = previous day; CM = current month; LM = last month; LY = last year; LYCM = last-year current-month basis</t>
        </is>
      </c>
      <c r="D9" s="51" t="n"/>
      <c r="E9" s="51" t="n"/>
      <c r="F9" s="52" t="n"/>
    </row>
    <row r="10" ht="15" customHeight="1" s="28">
      <c r="B10" s="41" t="inlineStr">
        <is>
          <t>v &lt; 3 Cr / v &lt; 3 Ind Cr</t>
        </is>
      </c>
      <c r="C10" s="48" t="inlineStr">
        <is>
          <t>Sub-book of view v for customers below ₹3 Cr, and for individual customers below ₹3 Cr</t>
        </is>
      </c>
      <c r="D10" s="51" t="n"/>
      <c r="E10" s="51" t="n"/>
      <c r="F10" s="52" t="n"/>
    </row>
    <row r="11" ht="15" customHeight="1" s="28">
      <c r="B11" s="41" t="inlineStr">
        <is>
          <t>GT(v)</t>
        </is>
      </c>
      <c r="C11" s="48" t="inlineStr">
        <is>
          <t>Grand Total MAB for view v</t>
        </is>
      </c>
      <c r="D11" s="51" t="n"/>
      <c r="E11" s="51" t="n"/>
      <c r="F11" s="52" t="n"/>
    </row>
    <row r="12" ht="15" customHeight="1" s="28">
      <c r="B12" s="41" t="inlineStr">
        <is>
          <t>g(v)</t>
        </is>
      </c>
      <c r="C12" s="48" t="inlineStr">
        <is>
          <t>M(CM) ÷ M(v) − 1</t>
        </is>
      </c>
      <c r="D12" s="51" t="n"/>
      <c r="E12" s="51" t="n"/>
      <c r="F12" s="52" t="n"/>
    </row>
    <row r="13" ht="15" customHeight="1" s="28">
      <c r="B13" s="41" t="inlineStr">
        <is>
          <t>sh3 / shI</t>
        </is>
      </c>
      <c r="C13" s="48" t="inlineStr">
        <is>
          <t>&lt; 3 Cr share = v &lt; 3 Cr ÷ v; individual share = v &lt; 3 Ind Cr ÷ v</t>
        </is>
      </c>
      <c r="D13" s="51" t="n"/>
      <c r="E13" s="51" t="n"/>
      <c r="F13" s="52" t="n"/>
    </row>
    <row r="14" ht="15" customHeight="1" s="28">
      <c r="B14" s="41" t="inlineStr">
        <is>
          <t>MAB/MEB</t>
        </is>
      </c>
      <c r="C14" s="48" t="inlineStr">
        <is>
          <t>CM MAB ÷ CM MEB from Block 1</t>
        </is>
      </c>
      <c r="D14" s="51" t="n"/>
      <c r="E14" s="51" t="n"/>
      <c r="F14" s="52" t="n"/>
    </row>
    <row r="15" ht="15" customHeight="1" s="28">
      <c r="B15" s="53" t="inlineStr">
        <is>
          <t>Values are ₹ Cr monthly average balances; growth in %, shares in %.</t>
        </is>
      </c>
    </row>
    <row r="16"/>
    <row r="17" ht="15" customHeight="1" s="28">
      <c r="A17" s="32" t="inlineStr">
        <is>
          <t>Exhaustive metrics table</t>
        </is>
      </c>
      <c r="B17" s="33" t="n"/>
      <c r="C17" s="33" t="n"/>
      <c r="D17" s="33" t="n"/>
      <c r="E17" s="33" t="n"/>
      <c r="F17" s="33" t="n"/>
    </row>
    <row r="18" ht="15" customHeight="1" s="28">
      <c r="A18" s="36" t="inlineStr">
        <is>
          <t>#</t>
        </is>
      </c>
      <c r="B18" s="36" t="inlineStr">
        <is>
          <t>Metric family</t>
        </is>
      </c>
      <c r="C18" s="36" t="inlineStr">
        <is>
          <t>Pipeline-ready metric</t>
        </is>
      </c>
      <c r="D18" s="36" t="inlineStr">
        <is>
          <t>Definition / formula</t>
        </is>
      </c>
      <c r="E18" s="36" t="inlineStr">
        <is>
          <t>Applies to</t>
        </is>
      </c>
      <c r="F18" s="36" t="inlineStr">
        <is>
          <t>Example</t>
        </is>
      </c>
      <c r="G18" s="54" t="inlineStr">
        <is>
          <t>Executable Formula</t>
        </is>
      </c>
      <c r="H18" s="54" t="inlineStr">
        <is>
          <t>Output Type</t>
        </is>
      </c>
    </row>
    <row r="19" ht="23.85" customHeight="1" s="28">
      <c r="A19" s="37" t="n">
        <v>1</v>
      </c>
      <c r="B19" s="48" t="inlineStr">
        <is>
          <t>Fact lookup</t>
        </is>
      </c>
      <c r="C19" s="48" t="inlineStr">
        <is>
          <t>Segment × product MAB</t>
        </is>
      </c>
      <c r="D19" s="48" t="inlineStr">
        <is>
          <t>M(s,p,v)</t>
        </is>
      </c>
      <c r="E19" s="48" t="inlineStr">
        <is>
          <t>16 lines × 18 views (288 cells)</t>
        </is>
      </c>
      <c r="F19" s="55" t="inlineStr">
        <is>
          <t>INSIGNIA Deposits CM / LM / LY / LYCM 53,834.13 / 34,820.85 / 24,851.69 / 21,769.31</t>
        </is>
      </c>
      <c r="G19" s="56" t="inlineStr">
        <is>
          <t>M(s,p,v)</t>
        </is>
      </c>
      <c r="H19" s="56" t="inlineStr"/>
    </row>
    <row r="20" ht="15" customHeight="1" s="28">
      <c r="A20" s="37" t="n">
        <v>2</v>
      </c>
      <c r="B20" s="48" t="inlineStr">
        <is>
          <t>Fact lookup</t>
        </is>
      </c>
      <c r="C20" s="48" t="inlineStr">
        <is>
          <t>Grand Total MAB</t>
        </is>
      </c>
      <c r="D20" s="48" t="inlineStr">
        <is>
          <t>GT(v)</t>
        </is>
      </c>
      <c r="E20" s="48" t="inlineStr">
        <is>
          <t>18 views</t>
        </is>
      </c>
      <c r="F20" s="55" t="inlineStr">
        <is>
          <t>CD / CM / LM / LY / LYCM 115,449.00 / 115,448.64 / 94,880.79 / 83,098.91 / 73,396.38</t>
        </is>
      </c>
      <c r="G20" s="56" t="inlineStr">
        <is>
          <t>M(Grand Total,v)</t>
        </is>
      </c>
      <c r="H20" s="56" t="inlineStr"/>
    </row>
    <row r="21" ht="15" customHeight="1" s="28">
      <c r="A21" s="37" t="n">
        <v>3</v>
      </c>
      <c r="B21" s="48" t="inlineStr">
        <is>
          <t>Roll-up check</t>
        </is>
      </c>
      <c r="C21" s="48" t="inlineStr">
        <is>
          <t>Lines to Grand Total</t>
        </is>
      </c>
      <c r="D21" s="48" t="inlineStr">
        <is>
          <t>GT(v) − Σ M(s,p,v)</t>
        </is>
      </c>
      <c r="E21" s="48" t="inlineStr">
        <is>
          <t>18 views</t>
        </is>
      </c>
      <c r="F21" s="55" t="inlineStr">
        <is>
          <t>CD line roll-up gap: 1.00</t>
        </is>
      </c>
      <c r="G21" s="56" t="inlineStr">
        <is>
          <t>M(CD* / Grand Total)-(M(CD* / INSIGNIA / - / CA)+M(CD* / INSIGNIA / - / SA)+M(CD* / INSIGNIA / - / Deposits)+M(CD* / INSIGNIA / - / ODFD)+M(CD* / SIGNATURE / - / CA)+M(CD* / SIGNATURE / - / SA)+M(CD* / SIGNATURE / - / Deposits)+M(CD* / SIGNATURE / - / ODFD)+M(CD* / ASPIRE / - / CA)+M(CD* / ASPIRE / - / SA)+M(CD* / ASPIRE / - / Deposits)+M(CD* / ASPIRE / - / ODFD)+M(CD* / MASS / - / CA)+M(CD* / MASS / - / SA)+M(CD* / MASS / - / Deposits)+M(CD* / MASS / - / ODFD))</t>
        </is>
      </c>
      <c r="H21" s="56" t="inlineStr">
        <is>
          <t>Cr</t>
        </is>
      </c>
    </row>
    <row r="22" ht="15" customHeight="1" s="28">
      <c r="A22" s="37" t="n">
        <v>4</v>
      </c>
      <c r="B22" s="48" t="inlineStr">
        <is>
          <t>Volume aggregates</t>
        </is>
      </c>
      <c r="C22" s="48" t="inlineStr">
        <is>
          <t>Segment MAB</t>
        </is>
      </c>
      <c r="D22" s="48" t="inlineStr">
        <is>
          <t>Σp M(s,p,CM)</t>
        </is>
      </c>
      <c r="E22" s="48" t="inlineStr">
        <is>
          <t>4 segments × 18 views</t>
        </is>
      </c>
      <c r="F22" s="55" t="inlineStr">
        <is>
          <t>CM 68,769.49 / 11,321.91 / 8,764.28 / 26,592.95</t>
        </is>
      </c>
      <c r="G22" s="56" t="inlineStr">
        <is>
          <t>M(CM* / INSIGNIA / - / CA)+M(CM* / INSIGNIA / - / SA)+M(CM* / INSIGNIA / - / Deposits)+M(CM* / INSIGNIA / - / ODFD)</t>
        </is>
      </c>
      <c r="H22" s="56" t="inlineStr">
        <is>
          <t>Cr</t>
        </is>
      </c>
    </row>
    <row r="23" ht="15" customHeight="1" s="28">
      <c r="A23" s="37" t="n">
        <v>5</v>
      </c>
      <c r="B23" s="48" t="inlineStr">
        <is>
          <t>Volume aggregates</t>
        </is>
      </c>
      <c r="C23" s="48" t="inlineStr">
        <is>
          <t>Product MAB</t>
        </is>
      </c>
      <c r="D23" s="48" t="inlineStr">
        <is>
          <t>Σs M(s,p,CM)</t>
        </is>
      </c>
      <c r="E23" s="48" t="inlineStr">
        <is>
          <t>4 products × 18 views</t>
        </is>
      </c>
      <c r="F23" s="55" t="inlineStr">
        <is>
          <t>CM 6,038.91 / 19,480.57 / 89,901.28 / 27.87</t>
        </is>
      </c>
      <c r="G23" s="56" t="inlineStr">
        <is>
          <t>M(CM* / INSIGNIA / - / CA)+M(CM* / SIGNATURE / - / CA)+M(CM* / ASPIRE / - / CA)+M(CM* / MASS / - / CA)</t>
        </is>
      </c>
      <c r="H23" s="56" t="inlineStr">
        <is>
          <t>Cr</t>
        </is>
      </c>
    </row>
    <row r="24" ht="15" customHeight="1" s="28">
      <c r="A24" s="37" t="n">
        <v>6</v>
      </c>
      <c r="B24" s="48" t="inlineStr">
        <is>
          <t>Volume aggregates</t>
        </is>
      </c>
      <c r="C24" s="48" t="inlineStr">
        <is>
          <t>CASA MAB</t>
        </is>
      </c>
      <c r="D24" s="48" t="inlineStr">
        <is>
          <t>M(CA) + M(SA)</t>
        </is>
      </c>
      <c r="E24" s="48" t="inlineStr">
        <is>
          <t>18 views</t>
        </is>
      </c>
      <c r="F24" s="55" t="inlineStr">
        <is>
          <t>CM 25,519.48; LY 25,065.55</t>
        </is>
      </c>
      <c r="G24" s="56" t="inlineStr">
        <is>
          <t>(M(CM* / INSIGNIA / - / CA)+M(CM* / SIGNATURE / - / CA)+M(CM* / ASPIRE / - / CA)+M(CM* / MASS / - / CA))+(M(CM* / INSIGNIA / - / SA)+M(CM* / SIGNATURE / - / SA)+M(CM* / ASPIRE / - / SA)+M(CM* / MASS / - / SA))</t>
        </is>
      </c>
      <c r="H24" s="56" t="inlineStr">
        <is>
          <t>Cr</t>
        </is>
      </c>
    </row>
    <row r="25" ht="15" customHeight="1" s="28">
      <c r="A25" s="37" t="n">
        <v>7</v>
      </c>
      <c r="B25" s="48" t="inlineStr">
        <is>
          <t>Mix &amp; share</t>
        </is>
      </c>
      <c r="C25" s="48" t="inlineStr">
        <is>
          <t>Segment share of GT</t>
        </is>
      </c>
      <c r="D25" s="48" t="inlineStr">
        <is>
          <t>Σp M(s,p,CM) ÷ GT(CM)</t>
        </is>
      </c>
      <c r="E25" s="48" t="inlineStr">
        <is>
          <t>4 segments</t>
        </is>
      </c>
      <c r="F25" s="55" t="inlineStr">
        <is>
          <t>59.6% / 9.8% / 7.6% / 23.0%</t>
        </is>
      </c>
      <c r="G25" s="56" t="inlineStr">
        <is>
          <t>(M(CM* / INSIGNIA / - / CA)+M(CM* / INSIGNIA / - / SA)+M(CM* / INSIGNIA / - / Deposits)+M(CM* / INSIGNIA / - / ODFD))/M(CM* / Grand Total)</t>
        </is>
      </c>
      <c r="H25" s="56" t="inlineStr">
        <is>
          <t>%</t>
        </is>
      </c>
    </row>
    <row r="26" ht="15" customHeight="1" s="28">
      <c r="A26" s="37" t="n">
        <v>8</v>
      </c>
      <c r="B26" s="48" t="inlineStr">
        <is>
          <t>Mix &amp; share</t>
        </is>
      </c>
      <c r="C26" s="48" t="inlineStr">
        <is>
          <t>Product share of GT</t>
        </is>
      </c>
      <c r="D26" s="48" t="inlineStr">
        <is>
          <t>Σs M(s,p,CM) ÷ GT(CM)</t>
        </is>
      </c>
      <c r="E26" s="48" t="inlineStr">
        <is>
          <t>4 products</t>
        </is>
      </c>
      <c r="F26" s="55" t="inlineStr">
        <is>
          <t>5.2% / 16.9% / 77.9% / 0.0%</t>
        </is>
      </c>
      <c r="G26" s="56" t="inlineStr">
        <is>
          <t>(M(CM* / INSIGNIA / - / CA)+M(CM* / SIGNATURE / - / CA)+M(CM* / ASPIRE / - / CA)+M(CM* / MASS / - / CA))/M(CM* / Grand Total)</t>
        </is>
      </c>
      <c r="H26" s="56" t="inlineStr">
        <is>
          <t>%</t>
        </is>
      </c>
    </row>
    <row r="27" ht="15" customHeight="1" s="28">
      <c r="A27" s="37" t="n">
        <v>9</v>
      </c>
      <c r="B27" s="48" t="inlineStr">
        <is>
          <t>Mix &amp; share</t>
        </is>
      </c>
      <c r="C27" s="48" t="inlineStr">
        <is>
          <t>CASA ratio</t>
        </is>
      </c>
      <c r="D27" s="48" t="inlineStr">
        <is>
          <t>CASA ÷ GT</t>
        </is>
      </c>
      <c r="E27" s="48" t="inlineStr">
        <is>
          <t>6 period views</t>
        </is>
      </c>
      <c r="F27" s="55" t="inlineStr">
        <is>
          <t>CM 22.1%; LM 26.5%; LY 30.2%</t>
        </is>
      </c>
      <c r="G27" s="56" t="inlineStr">
        <is>
          <t>((M(CM* / INSIGNIA / - / CA)+M(CM* / SIGNATURE / - / CA)+M(CM* / ASPIRE / - / CA)+M(CM* / MASS / - / CA))+(M(CM* / INSIGNIA / - / SA)+M(CM* / SIGNATURE / - / SA)+M(CM* / ASPIRE / - / SA)+M(CM* / MASS / - / SA)))/M(CM* / Grand Total)</t>
        </is>
      </c>
      <c r="H27" s="56" t="inlineStr">
        <is>
          <t>%</t>
        </is>
      </c>
    </row>
    <row r="28" ht="15" customHeight="1" s="28">
      <c r="A28" s="37" t="n">
        <v>10</v>
      </c>
      <c r="B28" s="48" t="inlineStr">
        <is>
          <t>Mix &amp; share</t>
        </is>
      </c>
      <c r="C28" s="48" t="inlineStr">
        <is>
          <t>&lt; 3 Cr sub-book share</t>
        </is>
      </c>
      <c r="D28" s="48" t="inlineStr">
        <is>
          <t>sh3 = M &lt; 3 Cr ÷ M</t>
        </is>
      </c>
      <c r="E28" s="48" t="inlineStr">
        <is>
          <t>16 lines + roll-ups</t>
        </is>
      </c>
      <c r="F28" s="55" t="inlineStr">
        <is>
          <t>GT 55.5%; INSIGNIA 51.4%; MASS 44.5%</t>
        </is>
      </c>
      <c r="G28" s="56" t="inlineStr">
        <is>
          <t>M(CM 3 Cr* / Grand Total)/M(CM* / Grand Total)</t>
        </is>
      </c>
      <c r="H28" s="56" t="inlineStr">
        <is>
          <t>%</t>
        </is>
      </c>
    </row>
    <row r="29" ht="15" customHeight="1" s="28">
      <c r="A29" s="37" t="n">
        <v>11</v>
      </c>
      <c r="B29" s="48" t="inlineStr">
        <is>
          <t>Mix &amp; share</t>
        </is>
      </c>
      <c r="C29" s="48" t="inlineStr">
        <is>
          <t>Individual &lt; 3 Cr share</t>
        </is>
      </c>
      <c r="D29" s="48" t="inlineStr">
        <is>
          <t>shI = M &lt; 3 Ind Cr ÷ M</t>
        </is>
      </c>
      <c r="E29" s="48" t="inlineStr">
        <is>
          <t>16 lines + roll-ups</t>
        </is>
      </c>
      <c r="F29" s="55" t="inlineStr">
        <is>
          <t>GT 38.5%; SA 73.4%; Deposits 33.2%</t>
        </is>
      </c>
      <c r="G29" s="56" t="inlineStr">
        <is>
          <t>M(CM 3 Ind Cr* / Grand Total)/M(CM* / Grand Total)</t>
        </is>
      </c>
      <c r="H29" s="56" t="inlineStr">
        <is>
          <t>%</t>
        </is>
      </c>
    </row>
    <row r="30" ht="15" customHeight="1" s="28">
      <c r="A30" s="37" t="n">
        <v>12</v>
      </c>
      <c r="B30" s="48" t="inlineStr">
        <is>
          <t>Growth &amp; momentum</t>
        </is>
      </c>
      <c r="C30" s="48" t="inlineStr">
        <is>
          <t>MoM growth</t>
        </is>
      </c>
      <c r="D30" s="48" t="inlineStr">
        <is>
          <t>g(LM)</t>
        </is>
      </c>
      <c r="E30" s="48" t="inlineStr">
        <is>
          <t>16 lines + roll-ups</t>
        </is>
      </c>
      <c r="F30" s="55" t="inlineStr">
        <is>
          <t>GT +21.7%; segments +38.9% / +7.3% / +7.6% / -0.3%</t>
        </is>
      </c>
      <c r="G30" s="56" t="inlineStr">
        <is>
          <t>M(CM* / Grand Total)/M(LM* / Grand Total)-1</t>
        </is>
      </c>
      <c r="H30" s="56" t="inlineStr">
        <is>
          <t>%</t>
        </is>
      </c>
    </row>
    <row r="31" ht="15" customHeight="1" s="28">
      <c r="A31" s="37" t="n">
        <v>13</v>
      </c>
      <c r="B31" s="48" t="inlineStr">
        <is>
          <t>Growth &amp; momentum</t>
        </is>
      </c>
      <c r="C31" s="48" t="inlineStr">
        <is>
          <t>YoY growth</t>
        </is>
      </c>
      <c r="D31" s="48" t="inlineStr">
        <is>
          <t>g(LY)</t>
        </is>
      </c>
      <c r="E31" s="48" t="inlineStr">
        <is>
          <t>16 lines + roll-ups</t>
        </is>
      </c>
      <c r="F31" s="55" t="inlineStr">
        <is>
          <t>GT +38.9%; segments +74.6% / +20.2% / +17.2% / -0.8%</t>
        </is>
      </c>
      <c r="G31" s="56" t="inlineStr">
        <is>
          <t>M(CM* / Grand Total)/M(LY* / Grand Total)-1</t>
        </is>
      </c>
      <c r="H31" s="56" t="inlineStr">
        <is>
          <t>%</t>
        </is>
      </c>
    </row>
    <row r="32" ht="15" customHeight="1" s="28">
      <c r="A32" s="37" t="n">
        <v>14</v>
      </c>
      <c r="B32" s="48" t="inlineStr">
        <is>
          <t>Growth &amp; momentum</t>
        </is>
      </c>
      <c r="C32" s="48" t="inlineStr">
        <is>
          <t>Growth vs LYCM basis</t>
        </is>
      </c>
      <c r="D32" s="48" t="inlineStr">
        <is>
          <t>g(LYCM)</t>
        </is>
      </c>
      <c r="E32" s="48" t="inlineStr">
        <is>
          <t>16 lines + roll-ups</t>
        </is>
      </c>
      <c r="F32" s="55" t="inlineStr">
        <is>
          <t>GT +57.3%; products +11.1% / +9.3% / +79.3% / +87.6%</t>
        </is>
      </c>
      <c r="G32" s="56" t="inlineStr">
        <is>
          <t>M(CM* / Grand Total)/M(LYCM* / Grand Total)-1</t>
        </is>
      </c>
      <c r="H32" s="56" t="inlineStr">
        <is>
          <t>%</t>
        </is>
      </c>
    </row>
    <row r="33" ht="15" customHeight="1" s="28">
      <c r="A33" s="37" t="n">
        <v>15</v>
      </c>
      <c r="B33" s="48" t="inlineStr">
        <is>
          <t>Growth &amp; momentum</t>
        </is>
      </c>
      <c r="C33" s="48" t="inlineStr">
        <is>
          <t>Product YoY growth</t>
        </is>
      </c>
      <c r="D33" s="48" t="inlineStr">
        <is>
          <t>g(LY) by product</t>
        </is>
      </c>
      <c r="E33" s="48" t="inlineStr">
        <is>
          <t>4 products</t>
        </is>
      </c>
      <c r="F33" s="55" t="inlineStr">
        <is>
          <t>-3.5% / +3.6% / +55.0% / -6.6% (CA / SA / Dep / ODFD)</t>
        </is>
      </c>
      <c r="G33" s="56" t="inlineStr">
        <is>
          <t>(M(CM* / INSIGNIA / - / CA)+M(CM* / SIGNATURE / - / CA)+M(CM* / ASPIRE / - / CA)+M(CM* / MASS / - / CA))/(M(LY* / INSIGNIA / - / CA)+M(LY* / SIGNATURE / - / CA)+M(LY* / ASPIRE / - / CA)+M(LY* / MASS / - / CA))-1</t>
        </is>
      </c>
      <c r="H33" s="56" t="inlineStr">
        <is>
          <t>%</t>
        </is>
      </c>
    </row>
    <row r="34" ht="15" customHeight="1" s="28">
      <c r="A34" s="37" t="n">
        <v>16</v>
      </c>
      <c r="B34" s="48" t="inlineStr">
        <is>
          <t>Growth &amp; momentum</t>
        </is>
      </c>
      <c r="C34" s="48" t="inlineStr">
        <is>
          <t>Sub-book YoY growth</t>
        </is>
      </c>
      <c r="D34" s="48" t="inlineStr">
        <is>
          <t>v &lt; 3 Cr (CM) ÷ v &lt; 3 Cr (LY) − 1</t>
        </is>
      </c>
      <c r="E34" s="48" t="inlineStr">
        <is>
          <t>GT and lines</t>
        </is>
      </c>
      <c r="F34" s="55" t="inlineStr">
        <is>
          <t>&lt; 3 Cr +8.5%; &lt; 3 Ind Cr +7.0%; ≥ 3 Cr book +113.6%</t>
        </is>
      </c>
      <c r="G34" s="56" t="inlineStr">
        <is>
          <t>M(CM 3 Cr* / Grand Total)/M(LY 3 Cr* / Grand Total)-1</t>
        </is>
      </c>
      <c r="H34" s="56" t="inlineStr">
        <is>
          <t>%</t>
        </is>
      </c>
    </row>
    <row r="35" ht="15" customHeight="1" s="28">
      <c r="A35" s="37" t="n">
        <v>17</v>
      </c>
      <c r="B35" s="48" t="inlineStr">
        <is>
          <t>Attribution</t>
        </is>
      </c>
      <c r="C35" s="48" t="inlineStr">
        <is>
          <t>Contribution to YoY GT growth</t>
        </is>
      </c>
      <c r="D35" s="48" t="inlineStr">
        <is>
          <t>(M(CM) − M(LY)) ÷ (GT(CM) − GT(LY))</t>
        </is>
      </c>
      <c r="E35" s="48" t="inlineStr">
        <is>
          <t>16 lines</t>
        </is>
      </c>
      <c r="F35" s="55" t="inlineStr">
        <is>
          <t>INSIGNIA Dep 89.6%; MASS Dep 0.1%</t>
        </is>
      </c>
      <c r="G35" s="56" t="inlineStr">
        <is>
          <t>(M(CM* / INSIGNIA / - / Deposits)-M(LY* / INSIGNIA / - / Deposits))/(M(CM* / Grand Total)-M(LY* / Grand Total))</t>
        </is>
      </c>
      <c r="H35" s="56" t="inlineStr">
        <is>
          <t>%</t>
        </is>
      </c>
    </row>
    <row r="36" ht="15" customHeight="1" s="28">
      <c r="A36" s="37" t="n">
        <v>18</v>
      </c>
      <c r="B36" s="48" t="inlineStr">
        <is>
          <t>Attribution</t>
        </is>
      </c>
      <c r="C36" s="48" t="inlineStr">
        <is>
          <t>Contribution to MoM GT growth</t>
        </is>
      </c>
      <c r="D36" s="48" t="inlineStr">
        <is>
          <t>(M(CM) − M(LM)) ÷ (GT(CM) − GT(LM))</t>
        </is>
      </c>
      <c r="E36" s="48" t="inlineStr">
        <is>
          <t>16 lines</t>
        </is>
      </c>
      <c r="F36" s="55" t="inlineStr">
        <is>
          <t>INSIGNIA Dep 92.4%</t>
        </is>
      </c>
      <c r="G36" s="56" t="inlineStr">
        <is>
          <t>(M(CM* / INSIGNIA / - / Deposits)-M(LM* / INSIGNIA / - / Deposits))/(M(CM* / Grand Total)-M(LM* / Grand Total))</t>
        </is>
      </c>
      <c r="H36" s="56" t="inlineStr">
        <is>
          <t>%</t>
        </is>
      </c>
    </row>
    <row r="37" ht="15" customHeight="1" s="28">
      <c r="A37" s="37" t="n">
        <v>19</v>
      </c>
      <c r="B37" s="48" t="inlineStr">
        <is>
          <t>Daily movement</t>
        </is>
      </c>
      <c r="C37" s="48" t="inlineStr">
        <is>
          <t>CD − PD</t>
        </is>
      </c>
      <c r="D37" s="48" t="inlineStr">
        <is>
          <t>Day-on-day MTD MAB change</t>
        </is>
      </c>
      <c r="E37" s="48" t="inlineStr">
        <is>
          <t>16 lines + GT</t>
        </is>
      </c>
      <c r="F37" s="55" t="inlineStr">
        <is>
          <t>GT 85.00; INSIGNIA Dep 55.00; MASS Dep -19.00</t>
        </is>
      </c>
      <c r="G37" s="56" t="inlineStr">
        <is>
          <t>M(CD* / INSIGNIA / - / Deposits)-M(PD* / INSIGNIA / - / Deposits)</t>
        </is>
      </c>
      <c r="H37" s="56" t="inlineStr">
        <is>
          <t>Cr</t>
        </is>
      </c>
    </row>
    <row r="38" ht="15" customHeight="1" s="28">
      <c r="A38" s="37" t="n">
        <v>20</v>
      </c>
      <c r="B38" s="48" t="inlineStr">
        <is>
          <t>Daily movement</t>
        </is>
      </c>
      <c r="C38" s="48" t="inlineStr">
        <is>
          <t>CD vs CM</t>
        </is>
      </c>
      <c r="D38" s="48" t="inlineStr">
        <is>
          <t>CD* − CM*</t>
        </is>
      </c>
      <c r="E38" s="48" t="inlineStr">
        <is>
          <t>GT</t>
        </is>
      </c>
      <c r="F38" s="55" t="inlineStr">
        <is>
          <t>0.36 (rounding; CD = CM to date)</t>
        </is>
      </c>
      <c r="G38" s="56" t="inlineStr">
        <is>
          <t>M(CD* / Grand Total)-M(CM* / Grand Total)</t>
        </is>
      </c>
      <c r="H38" s="56" t="inlineStr">
        <is>
          <t>Cr</t>
        </is>
      </c>
    </row>
    <row r="39" ht="15" customHeight="1" s="28">
      <c r="A39" s="37" t="n">
        <v>21</v>
      </c>
      <c r="B39" s="48" t="inlineStr">
        <is>
          <t>Cross-basis</t>
        </is>
      </c>
      <c r="C39" s="48" t="inlineStr">
        <is>
          <t>MAB ÷ MEB</t>
        </is>
      </c>
      <c r="D39" s="48" t="inlineStr">
        <is>
          <t>M(s,p,CM) ÷ B(s,p,CM) from Block 1</t>
        </is>
      </c>
      <c r="E39" s="48" t="inlineStr">
        <is>
          <t>16 lines</t>
        </is>
      </c>
      <c r="F39" s="55" t="inlineStr">
        <is>
          <t>INSIGNIA Dep 1.02x; MASS Dep 1.06x; INSIGNIA CA 0.94x</t>
        </is>
      </c>
      <c r="G39" s="56" t="inlineStr">
        <is>
          <t>M(CM* / INSIGNIA / - / Deposits)/B(INSIGNIA,Deposits,CM MEB)</t>
        </is>
      </c>
      <c r="H39" s="56" t="inlineStr">
        <is>
          <t>x</t>
        </is>
      </c>
    </row>
    <row r="40" ht="15" customHeight="1" s="28">
      <c r="A40" s="37" t="n">
        <v>22</v>
      </c>
      <c r="B40" s="48" t="inlineStr">
        <is>
          <t>Cross-basis</t>
        </is>
      </c>
      <c r="C40" s="48" t="inlineStr">
        <is>
          <t>GT MAB − GT MEB</t>
        </is>
      </c>
      <c r="D40" s="48" t="inlineStr">
        <is>
          <t>GT(CM) − GT MEB (Block 1)</t>
        </is>
      </c>
      <c r="E40" s="48" t="inlineStr">
        <is>
          <t>Page</t>
        </is>
      </c>
      <c r="F40" s="55" t="inlineStr">
        <is>
          <t>2,338.83</t>
        </is>
      </c>
      <c r="G40" s="56" t="inlineStr">
        <is>
          <t>M(CM* / Grand Total)-B(Grand Total,CM MEB / Total)</t>
        </is>
      </c>
      <c r="H40" s="56" t="inlineStr">
        <is>
          <t>Cr</t>
        </is>
      </c>
    </row>
    <row r="41" ht="23.85" customHeight="1" s="28">
      <c r="A41" s="37" t="n">
        <v>23</v>
      </c>
      <c r="B41" s="48" t="inlineStr">
        <is>
          <t>Reconciliation</t>
        </is>
      </c>
      <c r="C41" s="48" t="inlineStr">
        <is>
          <t>Tie to MAB page</t>
        </is>
      </c>
      <c r="D41" s="48" t="inlineStr">
        <is>
          <t>CM − LM = 'CM vs LM MAB Diff' (20,567.85); CM − LY = 32,349.73</t>
        </is>
      </c>
      <c r="E41" s="48" t="inlineStr">
        <is>
          <t>GT</t>
        </is>
      </c>
      <c r="F41" s="55" t="inlineStr">
        <is>
          <t>CM − LM 20,567.85; CM − LY 32,349.73</t>
        </is>
      </c>
      <c r="G41" s="56" t="inlineStr">
        <is>
          <t>M(CM* / Grand Total)-M(LM* / Grand Total)</t>
        </is>
      </c>
      <c r="H41" s="56" t="inlineStr">
        <is>
          <t>Cr</t>
        </is>
      </c>
    </row>
    <row r="42" ht="15" customHeight="1" s="28">
      <c r="A42" s="37" t="n">
        <v>24</v>
      </c>
      <c r="B42" s="48" t="inlineStr">
        <is>
          <t>Data integrity</t>
        </is>
      </c>
      <c r="C42" s="48" t="inlineStr">
        <is>
          <t>Threshold definition</t>
        </is>
      </c>
      <c r="D42" s="48" t="inlineStr">
        <is>
          <t>'&lt; 3 Cr' as printed</t>
        </is>
      </c>
      <c r="E42" s="48" t="inlineStr">
        <is>
          <t>Page</t>
        </is>
      </c>
      <c r="F42" s="48" t="inlineStr">
        <is>
          <t>CM &lt; 3 Cr Grand Total: 64,103.64</t>
        </is>
      </c>
      <c r="G42" s="58" t="inlineStr">
        <is>
          <t>M(CM 3 Cr* / Grand Total)</t>
        </is>
      </c>
      <c r="H42" s="58" t="inlineStr">
        <is>
          <t>Cr</t>
        </is>
      </c>
    </row>
    <row r="43" ht="15" customHeight="1" s="28">
      <c r="A43" s="37" t="n">
        <v>25</v>
      </c>
      <c r="B43" s="48" t="inlineStr">
        <is>
          <t>Data integrity</t>
        </is>
      </c>
      <c r="C43" s="48" t="inlineStr">
        <is>
          <t>LYCM definition flag</t>
        </is>
      </c>
      <c r="D43" s="48" t="inlineStr">
        <is>
          <t>LYCM* ≠ LY*</t>
        </is>
      </c>
      <c r="E43" s="48" t="inlineStr">
        <is>
          <t>Page</t>
        </is>
      </c>
      <c r="F43" s="55" t="inlineStr">
        <is>
          <t>LY minus LYCM Grand Total: 9,702.53</t>
        </is>
      </c>
      <c r="G43" s="56" t="inlineStr">
        <is>
          <t>M(LY* / Grand Total)-M(LYCM* / Grand Total)</t>
        </is>
      </c>
      <c r="H43" s="56" t="inlineStr">
        <is>
          <t>Cr</t>
        </is>
      </c>
    </row>
    <row r="44"/>
    <row r="45" ht="15" customHeight="1" s="28">
      <c r="A45" s="31" t="inlineStr">
        <is>
          <t>⚠ DRAFT ONLY — Requires review and approval by a qualified Alvarez and Marsal professional before use.</t>
        </is>
      </c>
    </row>
  </sheetData>
  <autoFilter ref="A18:H45"/>
  <mergeCells count="9">
    <mergeCell ref="C13:F13"/>
    <mergeCell ref="C9:F9"/>
    <mergeCell ref="C8:F8"/>
    <mergeCell ref="C12:F12"/>
    <mergeCell ref="C6:F6"/>
    <mergeCell ref="C7:F7"/>
    <mergeCell ref="C11:F11"/>
    <mergeCell ref="C10:F10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2026-10-09T21:17:21Z</dcterms:created>
  <dcterms:modified xsi:type="dcterms:W3CDTF">2026-10-22T05:30:35Z</dcterms:modified>
  <cp:revision>0</cp:revision>
</cp:coreProperties>
</file>